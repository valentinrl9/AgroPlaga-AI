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calm-my.sharepoint.com/personal/mroman_camaradealmeria_es/Documents/MICROCREDITOS CAIXA/AGROPLAGA/"/>
    </mc:Choice>
  </mc:AlternateContent>
  <xr:revisionPtr revIDLastSave="527" documentId="13_ncr:1_{F286A615-22C3-4563-AC88-0D81BA4D7D7E}" xr6:coauthVersionLast="47" xr6:coauthVersionMax="47" xr10:uidLastSave="{2FDCCC32-E1EB-427F-B09D-A696D2A3C3C6}"/>
  <bookViews>
    <workbookView xWindow="-120" yWindow="-120" windowWidth="29040" windowHeight="15720" firstSheet="4" activeTab="5" xr2:uid="{00000000-000D-0000-FFFF-FFFF00000000}"/>
  </bookViews>
  <sheets>
    <sheet name="Introducción de datos" sheetId="2" r:id="rId1"/>
    <sheet name="Fuentes de financiación" sheetId="19" r:id="rId2"/>
    <sheet name="Cuadro amortización crédito" sheetId="22" r:id="rId3"/>
    <sheet name="Personal" sheetId="24" r:id="rId4"/>
    <sheet name="Precios y costes" sheetId="20" r:id="rId5"/>
    <sheet name="Ventas" sheetId="21" r:id="rId6"/>
    <sheet name="Costes" sheetId="23" r:id="rId7"/>
    <sheet name="Cuenta de reslultados año1" sheetId="14" r:id="rId8"/>
    <sheet name="Cuenta de resultados año2" sheetId="15" r:id="rId9"/>
    <sheet name="Cuenta resultados año3" sheetId="18" r:id="rId10"/>
    <sheet name="Plan de Tesorería" sheetId="6" r:id="rId11"/>
    <sheet name="Balance" sheetId="7" r:id="rId12"/>
    <sheet name="Ratios" sheetId="25" r:id="rId13"/>
  </sheets>
  <externalReferences>
    <externalReference r:id="rId14"/>
  </externalReferences>
  <definedNames>
    <definedName name="_Toc179793326" localSheetId="12">Ratios!$B$13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20" l="1"/>
  <c r="H14" i="20"/>
  <c r="H15" i="20"/>
  <c r="H12" i="20"/>
  <c r="G12" i="20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K24" i="21"/>
  <c r="AL24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K25" i="21"/>
  <c r="AL25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K26" i="21"/>
  <c r="AL26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K27" i="21"/>
  <c r="AL27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K28" i="21"/>
  <c r="AL28" i="21"/>
  <c r="D32" i="2"/>
  <c r="C19" i="23" s="1"/>
  <c r="D19" i="23" s="1"/>
  <c r="E19" i="23" s="1"/>
  <c r="F19" i="23" s="1"/>
  <c r="G19" i="23" s="1"/>
  <c r="H19" i="23" s="1"/>
  <c r="I19" i="23" s="1"/>
  <c r="J19" i="23" s="1"/>
  <c r="K19" i="23" s="1"/>
  <c r="L19" i="23" s="1"/>
  <c r="M19" i="23" s="1"/>
  <c r="N19" i="23" s="1"/>
  <c r="O19" i="23" s="1"/>
  <c r="P19" i="23" s="1"/>
  <c r="Q19" i="23" s="1"/>
  <c r="R19" i="23" s="1"/>
  <c r="S19" i="23" s="1"/>
  <c r="T19" i="23" s="1"/>
  <c r="U19" i="23" s="1"/>
  <c r="V19" i="23" s="1"/>
  <c r="W19" i="23" s="1"/>
  <c r="X19" i="23" s="1"/>
  <c r="Y19" i="23" s="1"/>
  <c r="Z19" i="23" s="1"/>
  <c r="AA19" i="23" s="1"/>
  <c r="AB19" i="23" s="1"/>
  <c r="AC19" i="23" s="1"/>
  <c r="AD19" i="23" s="1"/>
  <c r="AE19" i="23" s="1"/>
  <c r="AF19" i="23" s="1"/>
  <c r="AG19" i="23" s="1"/>
  <c r="AH19" i="23" s="1"/>
  <c r="AI19" i="23" s="1"/>
  <c r="AJ19" i="23" s="1"/>
  <c r="AK19" i="23" s="1"/>
  <c r="AL19" i="23" s="1"/>
  <c r="C34" i="2"/>
  <c r="C46" i="2"/>
  <c r="C47" i="2"/>
  <c r="C48" i="2"/>
  <c r="C49" i="2"/>
  <c r="C50" i="2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K17" i="21"/>
  <c r="AL17" i="21"/>
  <c r="C17" i="21"/>
  <c r="D12" i="23"/>
  <c r="E12" i="23"/>
  <c r="F12" i="23"/>
  <c r="G12" i="23"/>
  <c r="H12" i="23"/>
  <c r="I12" i="23"/>
  <c r="J12" i="23"/>
  <c r="K12" i="23"/>
  <c r="L12" i="23"/>
  <c r="M12" i="23"/>
  <c r="N12" i="23"/>
  <c r="O12" i="23"/>
  <c r="P12" i="23"/>
  <c r="Q12" i="23"/>
  <c r="R12" i="23"/>
  <c r="S12" i="23"/>
  <c r="T12" i="23"/>
  <c r="U12" i="23"/>
  <c r="V12" i="23"/>
  <c r="W12" i="23"/>
  <c r="X12" i="23"/>
  <c r="Y12" i="23"/>
  <c r="Z12" i="23"/>
  <c r="AA12" i="23"/>
  <c r="AB12" i="23"/>
  <c r="AC12" i="23"/>
  <c r="AD12" i="23"/>
  <c r="AE12" i="23"/>
  <c r="AF12" i="23"/>
  <c r="AG12" i="23"/>
  <c r="AH12" i="23"/>
  <c r="AI12" i="23"/>
  <c r="AJ12" i="23"/>
  <c r="AK12" i="23"/>
  <c r="AL12" i="23"/>
  <c r="D13" i="23"/>
  <c r="E13" i="23"/>
  <c r="F13" i="23"/>
  <c r="G13" i="23"/>
  <c r="H13" i="23"/>
  <c r="I13" i="23"/>
  <c r="J13" i="23"/>
  <c r="K13" i="23"/>
  <c r="L13" i="23"/>
  <c r="M13" i="23"/>
  <c r="N13" i="23"/>
  <c r="O13" i="23"/>
  <c r="P13" i="23"/>
  <c r="Q13" i="23"/>
  <c r="R13" i="23"/>
  <c r="S13" i="23"/>
  <c r="T13" i="23"/>
  <c r="U13" i="23"/>
  <c r="V13" i="23"/>
  <c r="W13" i="23"/>
  <c r="X13" i="23"/>
  <c r="Y13" i="23"/>
  <c r="Z13" i="23"/>
  <c r="AA13" i="23"/>
  <c r="AB13" i="23"/>
  <c r="AC13" i="23"/>
  <c r="AD13" i="23"/>
  <c r="AE13" i="23"/>
  <c r="AF13" i="23"/>
  <c r="AG13" i="23"/>
  <c r="AH13" i="23"/>
  <c r="AI13" i="23"/>
  <c r="AJ13" i="23"/>
  <c r="AK13" i="23"/>
  <c r="AL13" i="23"/>
  <c r="D14" i="23"/>
  <c r="E14" i="23"/>
  <c r="F14" i="23"/>
  <c r="G14" i="23"/>
  <c r="H14" i="23"/>
  <c r="I14" i="23"/>
  <c r="J14" i="23"/>
  <c r="K14" i="23"/>
  <c r="L14" i="23"/>
  <c r="M14" i="23"/>
  <c r="N14" i="23"/>
  <c r="O14" i="23"/>
  <c r="P14" i="23"/>
  <c r="Q14" i="23"/>
  <c r="R14" i="23"/>
  <c r="S14" i="23"/>
  <c r="T14" i="23"/>
  <c r="U14" i="23"/>
  <c r="V14" i="23"/>
  <c r="W14" i="23"/>
  <c r="X14" i="23"/>
  <c r="Y14" i="23"/>
  <c r="Z14" i="23"/>
  <c r="AA14" i="23"/>
  <c r="AB14" i="23"/>
  <c r="AC14" i="23"/>
  <c r="AD14" i="23"/>
  <c r="AE14" i="23"/>
  <c r="AF14" i="23"/>
  <c r="AG14" i="23"/>
  <c r="AH14" i="23"/>
  <c r="AI14" i="23"/>
  <c r="AJ14" i="23"/>
  <c r="AK14" i="23"/>
  <c r="AL14" i="23"/>
  <c r="D15" i="23"/>
  <c r="E15" i="23"/>
  <c r="F15" i="23"/>
  <c r="G15" i="23"/>
  <c r="H15" i="23"/>
  <c r="I15" i="23"/>
  <c r="J15" i="23"/>
  <c r="K15" i="23"/>
  <c r="L15" i="23"/>
  <c r="M15" i="23"/>
  <c r="N15" i="23"/>
  <c r="O15" i="23"/>
  <c r="P15" i="23"/>
  <c r="Q15" i="23"/>
  <c r="R15" i="23"/>
  <c r="S15" i="23"/>
  <c r="T15" i="23"/>
  <c r="U15" i="23"/>
  <c r="V15" i="23"/>
  <c r="W15" i="23"/>
  <c r="X15" i="23"/>
  <c r="Y15" i="23"/>
  <c r="Z15" i="23"/>
  <c r="AA15" i="23"/>
  <c r="AB15" i="23"/>
  <c r="AC15" i="23"/>
  <c r="AD15" i="23"/>
  <c r="AE15" i="23"/>
  <c r="AF15" i="23"/>
  <c r="AG15" i="23"/>
  <c r="AH15" i="23"/>
  <c r="AI15" i="23"/>
  <c r="AJ15" i="23"/>
  <c r="AK15" i="23"/>
  <c r="AL15" i="23"/>
  <c r="D16" i="23"/>
  <c r="E16" i="23"/>
  <c r="F16" i="23"/>
  <c r="G16" i="23"/>
  <c r="H16" i="23"/>
  <c r="I16" i="23"/>
  <c r="J16" i="23"/>
  <c r="K16" i="23"/>
  <c r="L16" i="23"/>
  <c r="M16" i="23"/>
  <c r="N16" i="23"/>
  <c r="O16" i="23"/>
  <c r="P16" i="23"/>
  <c r="Q16" i="23"/>
  <c r="R16" i="23"/>
  <c r="S16" i="23"/>
  <c r="T16" i="23"/>
  <c r="U16" i="23"/>
  <c r="V16" i="23"/>
  <c r="W16" i="23"/>
  <c r="X16" i="23"/>
  <c r="Y16" i="23"/>
  <c r="Z16" i="23"/>
  <c r="AA16" i="23"/>
  <c r="AB16" i="23"/>
  <c r="AC16" i="23"/>
  <c r="AD16" i="23"/>
  <c r="AE16" i="23"/>
  <c r="AF16" i="23"/>
  <c r="AG16" i="23"/>
  <c r="AH16" i="23"/>
  <c r="AI16" i="23"/>
  <c r="AJ16" i="23"/>
  <c r="AK16" i="23"/>
  <c r="AL16" i="23"/>
  <c r="C13" i="23"/>
  <c r="C14" i="23"/>
  <c r="C15" i="23"/>
  <c r="C16" i="23"/>
  <c r="C12" i="23"/>
  <c r="B13" i="21"/>
  <c r="B14" i="21"/>
  <c r="B15" i="21"/>
  <c r="B16" i="21"/>
  <c r="B12" i="21"/>
  <c r="E8" i="22"/>
  <c r="B13" i="22" s="1"/>
  <c r="B14" i="22" s="1"/>
  <c r="C26" i="19"/>
  <c r="G13" i="20"/>
  <c r="G14" i="20"/>
  <c r="G15" i="20"/>
  <c r="F12" i="20"/>
  <c r="F13" i="20"/>
  <c r="F14" i="20"/>
  <c r="F15" i="20"/>
  <c r="F11" i="20"/>
  <c r="C23" i="2"/>
  <c r="C15" i="2"/>
  <c r="C10" i="25"/>
  <c r="C27" i="25"/>
  <c r="C8" i="25"/>
  <c r="E10" i="24"/>
  <c r="F10" i="24" s="1"/>
  <c r="C10" i="24"/>
  <c r="C11" i="24" s="1"/>
  <c r="C30" i="24"/>
  <c r="D51" i="2"/>
  <c r="D45" i="2"/>
  <c r="C25" i="23" s="1"/>
  <c r="D26" i="18"/>
  <c r="E26" i="18"/>
  <c r="F26" i="18"/>
  <c r="G26" i="18"/>
  <c r="H26" i="18"/>
  <c r="I26" i="18"/>
  <c r="J26" i="18"/>
  <c r="K26" i="18"/>
  <c r="L26" i="18"/>
  <c r="M26" i="18"/>
  <c r="N26" i="18"/>
  <c r="C26" i="18"/>
  <c r="C22" i="23"/>
  <c r="D30" i="24"/>
  <c r="E30" i="24"/>
  <c r="F30" i="24"/>
  <c r="G30" i="24"/>
  <c r="H30" i="24"/>
  <c r="I30" i="24"/>
  <c r="J30" i="24"/>
  <c r="K30" i="24"/>
  <c r="L30" i="24"/>
  <c r="M30" i="24"/>
  <c r="N30" i="24"/>
  <c r="O30" i="24"/>
  <c r="P30" i="24"/>
  <c r="Q30" i="24"/>
  <c r="R30" i="24"/>
  <c r="S30" i="24"/>
  <c r="T30" i="24"/>
  <c r="U30" i="24"/>
  <c r="V30" i="24"/>
  <c r="W30" i="24"/>
  <c r="X30" i="24"/>
  <c r="Y30" i="24"/>
  <c r="Z30" i="24"/>
  <c r="AA30" i="24"/>
  <c r="AB30" i="24"/>
  <c r="AC30" i="24"/>
  <c r="AD30" i="24"/>
  <c r="AE30" i="24"/>
  <c r="AF30" i="24"/>
  <c r="AG30" i="24"/>
  <c r="AH30" i="24"/>
  <c r="AI30" i="24"/>
  <c r="AJ30" i="24"/>
  <c r="AK30" i="24"/>
  <c r="AL30" i="24"/>
  <c r="D22" i="24"/>
  <c r="E22" i="24"/>
  <c r="F22" i="24"/>
  <c r="G22" i="24"/>
  <c r="H22" i="24"/>
  <c r="I22" i="24"/>
  <c r="J22" i="24"/>
  <c r="K22" i="24"/>
  <c r="L22" i="24"/>
  <c r="M22" i="24"/>
  <c r="N22" i="24"/>
  <c r="O22" i="24"/>
  <c r="P22" i="24"/>
  <c r="Q22" i="24"/>
  <c r="R22" i="24"/>
  <c r="S22" i="24"/>
  <c r="T22" i="24"/>
  <c r="U22" i="24"/>
  <c r="V22" i="24"/>
  <c r="W22" i="24"/>
  <c r="X22" i="24"/>
  <c r="Y22" i="24"/>
  <c r="Z22" i="24"/>
  <c r="AA22" i="24"/>
  <c r="AB22" i="24"/>
  <c r="AC22" i="24"/>
  <c r="AD22" i="24"/>
  <c r="AE22" i="24"/>
  <c r="AF22" i="24"/>
  <c r="AG22" i="24"/>
  <c r="AH22" i="24"/>
  <c r="AI22" i="24"/>
  <c r="AJ22" i="24"/>
  <c r="AK22" i="24"/>
  <c r="AL22" i="24"/>
  <c r="C22" i="24"/>
  <c r="C37" i="2"/>
  <c r="C36" i="2"/>
  <c r="C35" i="2" s="1"/>
  <c r="C44" i="2"/>
  <c r="C43" i="2"/>
  <c r="C42" i="2"/>
  <c r="C41" i="2"/>
  <c r="C40" i="2"/>
  <c r="C39" i="2"/>
  <c r="C52" i="2"/>
  <c r="C51" i="2" s="1"/>
  <c r="D38" i="2"/>
  <c r="C21" i="23" s="1"/>
  <c r="C16" i="6" s="1"/>
  <c r="D35" i="2"/>
  <c r="C20" i="23" s="1"/>
  <c r="G8" i="22"/>
  <c r="C29" i="24"/>
  <c r="C17" i="24" s="1"/>
  <c r="D17" i="24" s="1"/>
  <c r="E17" i="24" s="1"/>
  <c r="F17" i="24" s="1"/>
  <c r="G17" i="24" s="1"/>
  <c r="H17" i="24" s="1"/>
  <c r="I17" i="24" s="1"/>
  <c r="J17" i="24" s="1"/>
  <c r="K17" i="24" s="1"/>
  <c r="L17" i="24" s="1"/>
  <c r="M17" i="24" s="1"/>
  <c r="N17" i="24" s="1"/>
  <c r="O17" i="24" s="1"/>
  <c r="P17" i="24" s="1"/>
  <c r="Q17" i="24" s="1"/>
  <c r="R17" i="24" s="1"/>
  <c r="S17" i="24" s="1"/>
  <c r="T17" i="24" s="1"/>
  <c r="U17" i="24" s="1"/>
  <c r="V17" i="24" s="1"/>
  <c r="W17" i="24" s="1"/>
  <c r="X17" i="24" s="1"/>
  <c r="Y17" i="24" s="1"/>
  <c r="Z17" i="24" s="1"/>
  <c r="AA17" i="24" s="1"/>
  <c r="AB17" i="24" s="1"/>
  <c r="AC17" i="24" s="1"/>
  <c r="AD17" i="24" s="1"/>
  <c r="AE17" i="24" s="1"/>
  <c r="AF17" i="24" s="1"/>
  <c r="AG17" i="24" s="1"/>
  <c r="AH17" i="24" s="1"/>
  <c r="AI17" i="24" s="1"/>
  <c r="AJ17" i="24" s="1"/>
  <c r="AK17" i="24" s="1"/>
  <c r="AL17" i="24" s="1"/>
  <c r="C27" i="19"/>
  <c r="C11" i="21"/>
  <c r="C11" i="23" s="1"/>
  <c r="D17" i="18"/>
  <c r="E17" i="18"/>
  <c r="F17" i="18"/>
  <c r="G17" i="18"/>
  <c r="H17" i="18"/>
  <c r="I17" i="18"/>
  <c r="J17" i="18"/>
  <c r="K17" i="18"/>
  <c r="L17" i="18"/>
  <c r="M17" i="18"/>
  <c r="N17" i="18"/>
  <c r="C17" i="18"/>
  <c r="D17" i="15"/>
  <c r="E17" i="15"/>
  <c r="F17" i="15"/>
  <c r="G17" i="15"/>
  <c r="H17" i="15"/>
  <c r="I17" i="15"/>
  <c r="J17" i="15"/>
  <c r="K17" i="15"/>
  <c r="L17" i="15"/>
  <c r="M17" i="15"/>
  <c r="N17" i="15"/>
  <c r="D26" i="15"/>
  <c r="E26" i="15"/>
  <c r="F26" i="15"/>
  <c r="G26" i="15"/>
  <c r="H26" i="15"/>
  <c r="I26" i="15"/>
  <c r="J26" i="15"/>
  <c r="K26" i="15"/>
  <c r="L26" i="15"/>
  <c r="M26" i="15"/>
  <c r="N26" i="15"/>
  <c r="C17" i="15"/>
  <c r="C26" i="15"/>
  <c r="D17" i="14"/>
  <c r="E17" i="14"/>
  <c r="F17" i="14"/>
  <c r="G17" i="14"/>
  <c r="H17" i="14"/>
  <c r="I17" i="14"/>
  <c r="J17" i="14"/>
  <c r="K17" i="14"/>
  <c r="L17" i="14"/>
  <c r="M17" i="14"/>
  <c r="N17" i="14"/>
  <c r="D26" i="14"/>
  <c r="E26" i="14"/>
  <c r="F26" i="14"/>
  <c r="G26" i="14"/>
  <c r="H26" i="14"/>
  <c r="I26" i="14"/>
  <c r="J26" i="14"/>
  <c r="K26" i="14"/>
  <c r="L26" i="14"/>
  <c r="M26" i="14"/>
  <c r="N26" i="14"/>
  <c r="C17" i="14"/>
  <c r="C26" i="14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H84" i="22"/>
  <c r="F10" i="2"/>
  <c r="F11" i="2"/>
  <c r="F12" i="2"/>
  <c r="F13" i="2"/>
  <c r="F14" i="2"/>
  <c r="F9" i="2"/>
  <c r="C23" i="19"/>
  <c r="B13" i="23" l="1"/>
  <c r="B25" i="21"/>
  <c r="B26" i="21"/>
  <c r="B14" i="23"/>
  <c r="B15" i="23"/>
  <c r="B27" i="21"/>
  <c r="B28" i="21"/>
  <c r="B16" i="23"/>
  <c r="B24" i="21"/>
  <c r="B12" i="23"/>
  <c r="C45" i="2"/>
  <c r="D22" i="23"/>
  <c r="C21" i="14"/>
  <c r="C33" i="2"/>
  <c r="C32" i="2" s="1"/>
  <c r="D53" i="2"/>
  <c r="C29" i="21"/>
  <c r="C30" i="21" s="1"/>
  <c r="M29" i="21"/>
  <c r="M30" i="21" s="1"/>
  <c r="AK29" i="21"/>
  <c r="AK30" i="21" s="1"/>
  <c r="U29" i="21"/>
  <c r="U30" i="21" s="1"/>
  <c r="V29" i="21"/>
  <c r="V30" i="21" s="1"/>
  <c r="AC29" i="21"/>
  <c r="AC30" i="21" s="1"/>
  <c r="AL29" i="21"/>
  <c r="AL30" i="21" s="1"/>
  <c r="F29" i="21"/>
  <c r="F30" i="21" s="1"/>
  <c r="E29" i="21"/>
  <c r="E30" i="21" s="1"/>
  <c r="Q29" i="21"/>
  <c r="Q30" i="21" s="1"/>
  <c r="N29" i="21"/>
  <c r="N30" i="21" s="1"/>
  <c r="AD29" i="21"/>
  <c r="AD30" i="21" s="1"/>
  <c r="J29" i="21"/>
  <c r="J30" i="21" s="1"/>
  <c r="AJ29" i="21"/>
  <c r="AJ30" i="21" s="1"/>
  <c r="AB29" i="21"/>
  <c r="AB30" i="21" s="1"/>
  <c r="T29" i="21"/>
  <c r="T30" i="21" s="1"/>
  <c r="L29" i="21"/>
  <c r="L30" i="21" s="1"/>
  <c r="AF29" i="21"/>
  <c r="AF30" i="21" s="1"/>
  <c r="X29" i="21"/>
  <c r="X30" i="21" s="1"/>
  <c r="P29" i="21"/>
  <c r="P30" i="21" s="1"/>
  <c r="H29" i="21"/>
  <c r="H30" i="21" s="1"/>
  <c r="AE29" i="21"/>
  <c r="AE30" i="21" s="1"/>
  <c r="W29" i="21"/>
  <c r="W30" i="21" s="1"/>
  <c r="O29" i="21"/>
  <c r="O30" i="21" s="1"/>
  <c r="G29" i="21"/>
  <c r="G30" i="21" s="1"/>
  <c r="X17" i="23"/>
  <c r="AH29" i="21"/>
  <c r="AH30" i="21" s="1"/>
  <c r="Z29" i="21"/>
  <c r="Z30" i="21" s="1"/>
  <c r="R29" i="21"/>
  <c r="R30" i="21" s="1"/>
  <c r="AG29" i="21"/>
  <c r="AG30" i="21" s="1"/>
  <c r="Y29" i="21"/>
  <c r="Y30" i="21" s="1"/>
  <c r="I29" i="21"/>
  <c r="I30" i="21" s="1"/>
  <c r="D29" i="21"/>
  <c r="D30" i="21" s="1"/>
  <c r="G17" i="23"/>
  <c r="G13" i="6" s="1"/>
  <c r="AI29" i="21"/>
  <c r="AI30" i="21" s="1"/>
  <c r="AA29" i="21"/>
  <c r="AA30" i="21" s="1"/>
  <c r="S29" i="21"/>
  <c r="S30" i="21" s="1"/>
  <c r="K29" i="21"/>
  <c r="K30" i="21" s="1"/>
  <c r="AK17" i="23"/>
  <c r="AC17" i="23"/>
  <c r="U17" i="23"/>
  <c r="M17" i="23"/>
  <c r="M13" i="6" s="1"/>
  <c r="E17" i="23"/>
  <c r="E13" i="6" s="1"/>
  <c r="AE17" i="23"/>
  <c r="W17" i="23"/>
  <c r="O17" i="23"/>
  <c r="J17" i="23"/>
  <c r="J13" i="6" s="1"/>
  <c r="AH17" i="23"/>
  <c r="AF17" i="23"/>
  <c r="Z17" i="23"/>
  <c r="R17" i="23"/>
  <c r="P17" i="23"/>
  <c r="H17" i="23"/>
  <c r="H13" i="6" s="1"/>
  <c r="C17" i="23"/>
  <c r="C13" i="6" s="1"/>
  <c r="AI17" i="23"/>
  <c r="AA17" i="23"/>
  <c r="S17" i="23"/>
  <c r="K17" i="23"/>
  <c r="K13" i="6" s="1"/>
  <c r="AL17" i="23"/>
  <c r="N17" i="23"/>
  <c r="N13" i="6" s="1"/>
  <c r="Q17" i="23"/>
  <c r="AB17" i="23"/>
  <c r="L17" i="23"/>
  <c r="L13" i="6" s="1"/>
  <c r="I17" i="23"/>
  <c r="I13" i="6" s="1"/>
  <c r="AD17" i="23"/>
  <c r="AG17" i="23"/>
  <c r="AJ17" i="23"/>
  <c r="V17" i="23"/>
  <c r="F17" i="23"/>
  <c r="F13" i="6" s="1"/>
  <c r="Y17" i="23"/>
  <c r="T17" i="23"/>
  <c r="D17" i="23"/>
  <c r="D13" i="6" s="1"/>
  <c r="C24" i="14"/>
  <c r="D25" i="23"/>
  <c r="C19" i="6"/>
  <c r="C38" i="2"/>
  <c r="C17" i="6"/>
  <c r="C14" i="6"/>
  <c r="D21" i="23"/>
  <c r="D16" i="6" s="1"/>
  <c r="D20" i="23"/>
  <c r="C15" i="6"/>
  <c r="N14" i="6"/>
  <c r="F14" i="6"/>
  <c r="J14" i="6"/>
  <c r="I14" i="6"/>
  <c r="G14" i="6"/>
  <c r="M14" i="6"/>
  <c r="E14" i="6"/>
  <c r="H14" i="6"/>
  <c r="L14" i="6"/>
  <c r="D14" i="6"/>
  <c r="K14" i="6"/>
  <c r="O26" i="18"/>
  <c r="D11" i="21"/>
  <c r="D23" i="21" s="1"/>
  <c r="H10" i="24"/>
  <c r="I10" i="24" s="1"/>
  <c r="O26" i="14"/>
  <c r="O26" i="15"/>
  <c r="C10" i="14"/>
  <c r="C8" i="6" s="1"/>
  <c r="C18" i="14"/>
  <c r="O17" i="18"/>
  <c r="O17" i="15"/>
  <c r="O17" i="14"/>
  <c r="C20" i="14"/>
  <c r="C19" i="14"/>
  <c r="F8" i="2"/>
  <c r="D29" i="24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C23" i="21"/>
  <c r="B15" i="22"/>
  <c r="B16" i="22" s="1"/>
  <c r="G10" i="2"/>
  <c r="G14" i="2"/>
  <c r="G12" i="2"/>
  <c r="G11" i="2"/>
  <c r="G9" i="2"/>
  <c r="G13" i="2"/>
  <c r="O10" i="6"/>
  <c r="O21" i="6"/>
  <c r="O22" i="6"/>
  <c r="D15" i="7"/>
  <c r="E15" i="7" s="1"/>
  <c r="M11" i="18" l="1"/>
  <c r="I11" i="15"/>
  <c r="I14" i="15" s="1"/>
  <c r="J11" i="15"/>
  <c r="J14" i="15" s="1"/>
  <c r="E11" i="18"/>
  <c r="N11" i="18"/>
  <c r="E11" i="15"/>
  <c r="E14" i="15" s="1"/>
  <c r="F11" i="18"/>
  <c r="L11" i="18"/>
  <c r="D11" i="18"/>
  <c r="D14" i="18" s="1"/>
  <c r="H11" i="15"/>
  <c r="H14" i="15" s="1"/>
  <c r="H11" i="18"/>
  <c r="L11" i="15"/>
  <c r="L14" i="15" s="1"/>
  <c r="D11" i="15"/>
  <c r="D14" i="15" s="1"/>
  <c r="G11" i="18"/>
  <c r="K11" i="15"/>
  <c r="C11" i="15"/>
  <c r="C14" i="15" s="1"/>
  <c r="J11" i="18"/>
  <c r="N11" i="15"/>
  <c r="N14" i="15" s="1"/>
  <c r="F11" i="15"/>
  <c r="F14" i="15" s="1"/>
  <c r="I11" i="18"/>
  <c r="M11" i="15"/>
  <c r="M14" i="15" s="1"/>
  <c r="K11" i="18"/>
  <c r="C11" i="18"/>
  <c r="G11" i="15"/>
  <c r="G14" i="15" s="1"/>
  <c r="C22" i="25"/>
  <c r="C9" i="6"/>
  <c r="C11" i="14"/>
  <c r="M11" i="14"/>
  <c r="M9" i="6"/>
  <c r="M11" i="6" s="1"/>
  <c r="F9" i="6"/>
  <c r="F11" i="6" s="1"/>
  <c r="F11" i="14"/>
  <c r="E9" i="6"/>
  <c r="E11" i="6" s="1"/>
  <c r="E11" i="14"/>
  <c r="N11" i="14"/>
  <c r="N9" i="6"/>
  <c r="N11" i="6" s="1"/>
  <c r="J9" i="6"/>
  <c r="J11" i="6" s="1"/>
  <c r="J11" i="14"/>
  <c r="L11" i="14"/>
  <c r="L9" i="6"/>
  <c r="L11" i="6" s="1"/>
  <c r="H9" i="6"/>
  <c r="H11" i="6" s="1"/>
  <c r="H11" i="14"/>
  <c r="G11" i="14"/>
  <c r="G14" i="14" s="1"/>
  <c r="G9" i="6"/>
  <c r="G11" i="6" s="1"/>
  <c r="I11" i="14"/>
  <c r="I9" i="6"/>
  <c r="I11" i="6" s="1"/>
  <c r="D11" i="14"/>
  <c r="D9" i="6"/>
  <c r="D11" i="6" s="1"/>
  <c r="K9" i="6"/>
  <c r="K11" i="6" s="1"/>
  <c r="K11" i="14"/>
  <c r="E22" i="23"/>
  <c r="D17" i="6"/>
  <c r="D21" i="14"/>
  <c r="C53" i="2"/>
  <c r="F22" i="23"/>
  <c r="F17" i="6" s="1"/>
  <c r="O13" i="6"/>
  <c r="O14" i="6"/>
  <c r="E21" i="23"/>
  <c r="F21" i="23" s="1"/>
  <c r="F16" i="6" s="1"/>
  <c r="E25" i="23"/>
  <c r="D19" i="6"/>
  <c r="D24" i="14"/>
  <c r="E20" i="23"/>
  <c r="E19" i="14" s="1"/>
  <c r="D15" i="6"/>
  <c r="E11" i="21"/>
  <c r="D11" i="23"/>
  <c r="D10" i="14" s="1"/>
  <c r="D8" i="6" s="1"/>
  <c r="D19" i="14"/>
  <c r="D18" i="14"/>
  <c r="D16" i="14"/>
  <c r="G16" i="14"/>
  <c r="I16" i="14"/>
  <c r="J16" i="14"/>
  <c r="K16" i="14"/>
  <c r="M16" i="14"/>
  <c r="C16" i="15"/>
  <c r="E16" i="15"/>
  <c r="F16" i="15"/>
  <c r="H16" i="15"/>
  <c r="J16" i="15"/>
  <c r="L16" i="15"/>
  <c r="M16" i="15"/>
  <c r="N16" i="15"/>
  <c r="D16" i="18"/>
  <c r="F16" i="18"/>
  <c r="H16" i="18"/>
  <c r="K16" i="18"/>
  <c r="L16" i="18"/>
  <c r="M16" i="18"/>
  <c r="N16" i="18"/>
  <c r="C16" i="14"/>
  <c r="I16" i="18"/>
  <c r="E16" i="14"/>
  <c r="F16" i="14"/>
  <c r="H16" i="14"/>
  <c r="L16" i="14"/>
  <c r="N16" i="14"/>
  <c r="D16" i="15"/>
  <c r="G16" i="15"/>
  <c r="I16" i="15"/>
  <c r="K16" i="15"/>
  <c r="C16" i="18"/>
  <c r="E16" i="18"/>
  <c r="G16" i="18"/>
  <c r="J16" i="18"/>
  <c r="D20" i="14"/>
  <c r="E18" i="14"/>
  <c r="G8" i="2"/>
  <c r="C26" i="23" s="1"/>
  <c r="AB29" i="24"/>
  <c r="AC29" i="24" s="1"/>
  <c r="AD29" i="24" s="1"/>
  <c r="AE29" i="24" s="1"/>
  <c r="AF29" i="24" s="1"/>
  <c r="AG29" i="24" s="1"/>
  <c r="AH29" i="24" s="1"/>
  <c r="AI29" i="24" s="1"/>
  <c r="AJ29" i="24" s="1"/>
  <c r="AK29" i="24" s="1"/>
  <c r="AL29" i="24" s="1"/>
  <c r="B17" i="22"/>
  <c r="B18" i="22" s="1"/>
  <c r="E17" i="6" l="1"/>
  <c r="E21" i="14"/>
  <c r="E11" i="23"/>
  <c r="E10" i="14" s="1"/>
  <c r="E8" i="6" s="1"/>
  <c r="E23" i="21"/>
  <c r="F21" i="14"/>
  <c r="G22" i="23"/>
  <c r="C7" i="25"/>
  <c r="O9" i="6"/>
  <c r="F11" i="21"/>
  <c r="C11" i="6"/>
  <c r="E16" i="6"/>
  <c r="G21" i="23"/>
  <c r="G16" i="6" s="1"/>
  <c r="F25" i="23"/>
  <c r="E19" i="6"/>
  <c r="E24" i="14"/>
  <c r="F20" i="23"/>
  <c r="F19" i="14" s="1"/>
  <c r="E15" i="6"/>
  <c r="K14" i="15"/>
  <c r="O11" i="15"/>
  <c r="H14" i="14"/>
  <c r="I14" i="14"/>
  <c r="J14" i="14"/>
  <c r="M14" i="14"/>
  <c r="D14" i="14"/>
  <c r="E14" i="14"/>
  <c r="F14" i="14"/>
  <c r="K14" i="14"/>
  <c r="L14" i="14"/>
  <c r="N14" i="14"/>
  <c r="N14" i="18"/>
  <c r="M14" i="18"/>
  <c r="L14" i="18"/>
  <c r="J14" i="18"/>
  <c r="I14" i="18"/>
  <c r="H14" i="18"/>
  <c r="G14" i="18"/>
  <c r="F14" i="18"/>
  <c r="E14" i="18"/>
  <c r="K14" i="18"/>
  <c r="O11" i="18"/>
  <c r="O14" i="18" s="1"/>
  <c r="C14" i="18"/>
  <c r="O16" i="14"/>
  <c r="O16" i="18"/>
  <c r="O16" i="15"/>
  <c r="E20" i="14"/>
  <c r="F18" i="14"/>
  <c r="C25" i="14"/>
  <c r="D26" i="23"/>
  <c r="B19" i="22"/>
  <c r="B20" i="22" s="1"/>
  <c r="B21" i="22" s="1"/>
  <c r="B22" i="22" s="1"/>
  <c r="B23" i="22" s="1"/>
  <c r="C8" i="2"/>
  <c r="F11" i="23" l="1"/>
  <c r="F10" i="14" s="1"/>
  <c r="F8" i="6" s="1"/>
  <c r="G11" i="21"/>
  <c r="C14" i="14"/>
  <c r="O11" i="14"/>
  <c r="G21" i="14"/>
  <c r="G17" i="6"/>
  <c r="H22" i="23"/>
  <c r="O11" i="6"/>
  <c r="F23" i="21"/>
  <c r="H21" i="23"/>
  <c r="G25" i="23"/>
  <c r="F19" i="6"/>
  <c r="F24" i="14"/>
  <c r="G20" i="23"/>
  <c r="G19" i="14" s="1"/>
  <c r="F15" i="6"/>
  <c r="O14" i="15"/>
  <c r="F20" i="14"/>
  <c r="G18" i="14"/>
  <c r="D25" i="14"/>
  <c r="E26" i="23"/>
  <c r="B24" i="22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B51" i="22" s="1"/>
  <c r="B52" i="22" s="1"/>
  <c r="B53" i="22" s="1"/>
  <c r="B54" i="22" s="1"/>
  <c r="B55" i="22" s="1"/>
  <c r="B56" i="22" s="1"/>
  <c r="B57" i="22" s="1"/>
  <c r="B58" i="22" s="1"/>
  <c r="B59" i="22" s="1"/>
  <c r="B60" i="22" s="1"/>
  <c r="B61" i="22" s="1"/>
  <c r="B62" i="22" s="1"/>
  <c r="B63" i="22" s="1"/>
  <c r="B64" i="22" s="1"/>
  <c r="B65" i="22" s="1"/>
  <c r="B66" i="22" s="1"/>
  <c r="B67" i="22" s="1"/>
  <c r="B68" i="22" s="1"/>
  <c r="B69" i="22" s="1"/>
  <c r="B70" i="22" s="1"/>
  <c r="B71" i="22" s="1"/>
  <c r="B72" i="22" s="1"/>
  <c r="B73" i="22" s="1"/>
  <c r="B74" i="22" s="1"/>
  <c r="B75" i="22" s="1"/>
  <c r="B76" i="22" s="1"/>
  <c r="B77" i="22" s="1"/>
  <c r="B78" i="22" s="1"/>
  <c r="B79" i="22" s="1"/>
  <c r="B80" i="22" s="1"/>
  <c r="B81" i="22" s="1"/>
  <c r="B82" i="22" s="1"/>
  <c r="B83" i="22" s="1"/>
  <c r="B84" i="22" s="1"/>
  <c r="C27" i="2"/>
  <c r="C16" i="19" l="1"/>
  <c r="C10" i="19" s="1"/>
  <c r="D10" i="2"/>
  <c r="D18" i="2"/>
  <c r="D19" i="2"/>
  <c r="D22" i="2"/>
  <c r="D12" i="2"/>
  <c r="D20" i="2"/>
  <c r="D17" i="2"/>
  <c r="D13" i="2"/>
  <c r="D14" i="2"/>
  <c r="D25" i="2"/>
  <c r="D21" i="2"/>
  <c r="D26" i="2"/>
  <c r="D16" i="2"/>
  <c r="D11" i="2"/>
  <c r="C21" i="19"/>
  <c r="C24" i="19"/>
  <c r="I21" i="23"/>
  <c r="H16" i="6"/>
  <c r="O14" i="14"/>
  <c r="C17" i="25"/>
  <c r="C18" i="25" s="1"/>
  <c r="G11" i="23"/>
  <c r="G10" i="14" s="1"/>
  <c r="G8" i="6" s="1"/>
  <c r="G23" i="21"/>
  <c r="H11" i="21"/>
  <c r="H17" i="6"/>
  <c r="H21" i="14"/>
  <c r="I22" i="23"/>
  <c r="D9" i="2"/>
  <c r="H25" i="23"/>
  <c r="G24" i="14"/>
  <c r="G19" i="6"/>
  <c r="D23" i="2"/>
  <c r="H20" i="23"/>
  <c r="H19" i="14" s="1"/>
  <c r="G15" i="6"/>
  <c r="G20" i="14"/>
  <c r="H18" i="14"/>
  <c r="D24" i="2"/>
  <c r="F26" i="23"/>
  <c r="E25" i="14"/>
  <c r="D15" i="2"/>
  <c r="D8" i="2"/>
  <c r="I16" i="6" l="1"/>
  <c r="J21" i="23"/>
  <c r="H11" i="23"/>
  <c r="H10" i="14" s="1"/>
  <c r="H8" i="6" s="1"/>
  <c r="H23" i="21"/>
  <c r="I11" i="21"/>
  <c r="J11" i="21" s="1"/>
  <c r="J11" i="23" s="1"/>
  <c r="J10" i="14" s="1"/>
  <c r="J8" i="6" s="1"/>
  <c r="J22" i="23"/>
  <c r="I17" i="6"/>
  <c r="I21" i="14"/>
  <c r="I25" i="23"/>
  <c r="H24" i="14"/>
  <c r="H19" i="6"/>
  <c r="I20" i="23"/>
  <c r="I19" i="14" s="1"/>
  <c r="H15" i="6"/>
  <c r="H20" i="14"/>
  <c r="I18" i="14"/>
  <c r="C12" i="19"/>
  <c r="C9" i="22"/>
  <c r="F25" i="14"/>
  <c r="G26" i="23"/>
  <c r="E32" i="7"/>
  <c r="K21" i="23" l="1"/>
  <c r="J16" i="6"/>
  <c r="I11" i="23"/>
  <c r="I10" i="14" s="1"/>
  <c r="I8" i="6" s="1"/>
  <c r="I23" i="21"/>
  <c r="J17" i="6"/>
  <c r="J21" i="14"/>
  <c r="K22" i="23"/>
  <c r="J25" i="23"/>
  <c r="I24" i="14"/>
  <c r="I19" i="6"/>
  <c r="J20" i="23"/>
  <c r="J19" i="14" s="1"/>
  <c r="I15" i="6"/>
  <c r="K11" i="21"/>
  <c r="K11" i="23" s="1"/>
  <c r="K10" i="14" s="1"/>
  <c r="K8" i="6" s="1"/>
  <c r="J23" i="21"/>
  <c r="I20" i="14"/>
  <c r="J18" i="14"/>
  <c r="C23" i="22"/>
  <c r="M20" i="6" s="1" a="1"/>
  <c r="F13" i="22"/>
  <c r="C20" i="22"/>
  <c r="J20" i="6" s="1" a="1"/>
  <c r="C25" i="22"/>
  <c r="C24" i="22"/>
  <c r="N20" i="6" s="1" a="1"/>
  <c r="C22" i="22"/>
  <c r="L20" i="6" s="1" a="1"/>
  <c r="C21" i="22"/>
  <c r="K20" i="6" s="1" a="1"/>
  <c r="F12" i="22"/>
  <c r="C84" i="22"/>
  <c r="C77" i="22"/>
  <c r="C71" i="22"/>
  <c r="C62" i="22"/>
  <c r="C53" i="22"/>
  <c r="C43" i="22"/>
  <c r="C39" i="22"/>
  <c r="C35" i="22"/>
  <c r="C29" i="22"/>
  <c r="C79" i="22"/>
  <c r="C70" i="22"/>
  <c r="C61" i="22"/>
  <c r="C57" i="22"/>
  <c r="C52" i="22"/>
  <c r="C45" i="22"/>
  <c r="C30" i="22"/>
  <c r="C80" i="22"/>
  <c r="C68" i="22"/>
  <c r="C64" i="22"/>
  <c r="C49" i="22"/>
  <c r="C42" i="22"/>
  <c r="C26" i="22"/>
  <c r="C83" i="22"/>
  <c r="C75" i="22"/>
  <c r="C65" i="22"/>
  <c r="C54" i="22"/>
  <c r="C27" i="22"/>
  <c r="C19" i="22"/>
  <c r="I20" i="6" s="1" a="1"/>
  <c r="C76" i="22"/>
  <c r="C69" i="22"/>
  <c r="C59" i="22"/>
  <c r="C51" i="22"/>
  <c r="C46" i="22"/>
  <c r="C37" i="22"/>
  <c r="C31" i="22"/>
  <c r="C82" i="22"/>
  <c r="C74" i="22"/>
  <c r="C67" i="22"/>
  <c r="C63" i="22"/>
  <c r="C56" i="22"/>
  <c r="C48" i="22"/>
  <c r="C41" i="22"/>
  <c r="C36" i="22"/>
  <c r="C32" i="22"/>
  <c r="C78" i="22"/>
  <c r="C72" i="22"/>
  <c r="C60" i="22"/>
  <c r="C55" i="22"/>
  <c r="C44" i="22"/>
  <c r="C40" i="22"/>
  <c r="C34" i="22"/>
  <c r="C33" i="22"/>
  <c r="C81" i="22"/>
  <c r="C73" i="22"/>
  <c r="C66" i="22"/>
  <c r="C58" i="22"/>
  <c r="C50" i="22"/>
  <c r="C47" i="22"/>
  <c r="C38" i="22"/>
  <c r="C28" i="22"/>
  <c r="G25" i="14"/>
  <c r="H26" i="23"/>
  <c r="L21" i="23" l="1"/>
  <c r="K16" i="6"/>
  <c r="K17" i="6"/>
  <c r="K21" i="14"/>
  <c r="L22" i="23"/>
  <c r="K25" i="23"/>
  <c r="J19" i="6"/>
  <c r="J24" i="14"/>
  <c r="K20" i="23"/>
  <c r="K19" i="14" s="1"/>
  <c r="J15" i="6"/>
  <c r="K23" i="21"/>
  <c r="L11" i="21"/>
  <c r="L11" i="23" s="1"/>
  <c r="L10" i="14" s="1"/>
  <c r="L8" i="6" s="1"/>
  <c r="J20" i="14"/>
  <c r="K18" i="14"/>
  <c r="D11" i="19"/>
  <c r="D16" i="19"/>
  <c r="D10" i="19"/>
  <c r="D13" i="19"/>
  <c r="D14" i="19"/>
  <c r="D15" i="19"/>
  <c r="D13" i="22"/>
  <c r="D12" i="19"/>
  <c r="H25" i="14"/>
  <c r="I26" i="23"/>
  <c r="L16" i="6" l="1"/>
  <c r="M21" i="23"/>
  <c r="L21" i="14"/>
  <c r="L17" i="6"/>
  <c r="M22" i="23"/>
  <c r="L25" i="23"/>
  <c r="K19" i="6"/>
  <c r="K24" i="14"/>
  <c r="L20" i="23"/>
  <c r="K15" i="6"/>
  <c r="C13" i="22"/>
  <c r="E13" i="22" s="1"/>
  <c r="G13" i="22" s="1"/>
  <c r="F14" i="22" s="1"/>
  <c r="C24" i="23" a="1"/>
  <c r="L23" i="21"/>
  <c r="M11" i="21"/>
  <c r="M11" i="23" s="1"/>
  <c r="M10" i="14" s="1"/>
  <c r="M8" i="6" s="1"/>
  <c r="K20" i="14"/>
  <c r="L18" i="14"/>
  <c r="J26" i="23"/>
  <c r="I25" i="14"/>
  <c r="N21" i="23" l="1"/>
  <c r="M16" i="6"/>
  <c r="M17" i="6"/>
  <c r="M21" i="14"/>
  <c r="N22" i="23"/>
  <c r="N21" i="14" s="1"/>
  <c r="O21" i="14" s="1"/>
  <c r="M25" i="23"/>
  <c r="L19" i="6"/>
  <c r="L24" i="14"/>
  <c r="M20" i="23"/>
  <c r="M19" i="14" s="1"/>
  <c r="L15" i="6"/>
  <c r="L19" i="14"/>
  <c r="C20" i="6" a="1"/>
  <c r="N11" i="21"/>
  <c r="N11" i="23" s="1"/>
  <c r="N10" i="14" s="1"/>
  <c r="N8" i="6" s="1"/>
  <c r="M23" i="21"/>
  <c r="L20" i="14"/>
  <c r="M18" i="14"/>
  <c r="D14" i="22"/>
  <c r="K26" i="23"/>
  <c r="J25" i="14"/>
  <c r="O21" i="23" l="1"/>
  <c r="P21" i="23" s="1"/>
  <c r="Q21" i="23" s="1"/>
  <c r="R21" i="23" s="1"/>
  <c r="S21" i="23" s="1"/>
  <c r="T21" i="23" s="1"/>
  <c r="U21" i="23" s="1"/>
  <c r="V21" i="23" s="1"/>
  <c r="W21" i="23" s="1"/>
  <c r="X21" i="23" s="1"/>
  <c r="Y21" i="23" s="1"/>
  <c r="Z21" i="23" s="1"/>
  <c r="AA21" i="23" s="1"/>
  <c r="AB21" i="23" s="1"/>
  <c r="AC21" i="23" s="1"/>
  <c r="AD21" i="23" s="1"/>
  <c r="AE21" i="23" s="1"/>
  <c r="AF21" i="23" s="1"/>
  <c r="AG21" i="23" s="1"/>
  <c r="AH21" i="23" s="1"/>
  <c r="AI21" i="23" s="1"/>
  <c r="AJ21" i="23" s="1"/>
  <c r="AK21" i="23" s="1"/>
  <c r="AL21" i="23" s="1"/>
  <c r="N16" i="6"/>
  <c r="O16" i="6" s="1"/>
  <c r="O22" i="23"/>
  <c r="N17" i="6"/>
  <c r="O17" i="6" s="1"/>
  <c r="O11" i="21"/>
  <c r="O11" i="23" s="1"/>
  <c r="C10" i="15" s="1"/>
  <c r="N25" i="23"/>
  <c r="M19" i="6"/>
  <c r="M24" i="14"/>
  <c r="N20" i="23"/>
  <c r="N19" i="14" s="1"/>
  <c r="O19" i="14" s="1"/>
  <c r="M15" i="6"/>
  <c r="N23" i="21"/>
  <c r="C14" i="22"/>
  <c r="D20" i="6" s="1" a="1"/>
  <c r="D24" i="23" a="1"/>
  <c r="M20" i="14"/>
  <c r="N18" i="14"/>
  <c r="O18" i="14" s="1"/>
  <c r="L26" i="23"/>
  <c r="K25" i="14"/>
  <c r="P22" i="23" l="1"/>
  <c r="C21" i="15"/>
  <c r="P11" i="21"/>
  <c r="O23" i="21"/>
  <c r="O25" i="23"/>
  <c r="N19" i="6"/>
  <c r="O19" i="6" s="1"/>
  <c r="N24" i="14"/>
  <c r="O24" i="14" s="1"/>
  <c r="O20" i="23"/>
  <c r="P20" i="23" s="1"/>
  <c r="Q20" i="23" s="1"/>
  <c r="R20" i="23" s="1"/>
  <c r="S20" i="23" s="1"/>
  <c r="T20" i="23" s="1"/>
  <c r="U20" i="23" s="1"/>
  <c r="V20" i="23" s="1"/>
  <c r="W20" i="23" s="1"/>
  <c r="X20" i="23" s="1"/>
  <c r="Y20" i="23" s="1"/>
  <c r="Z20" i="23" s="1"/>
  <c r="AA20" i="23" s="1"/>
  <c r="AB20" i="23" s="1"/>
  <c r="AC20" i="23" s="1"/>
  <c r="AD20" i="23" s="1"/>
  <c r="AE20" i="23" s="1"/>
  <c r="AF20" i="23" s="1"/>
  <c r="AG20" i="23" s="1"/>
  <c r="AH20" i="23" s="1"/>
  <c r="AI20" i="23" s="1"/>
  <c r="AJ20" i="23" s="1"/>
  <c r="AK20" i="23" s="1"/>
  <c r="AL20" i="23" s="1"/>
  <c r="N15" i="6"/>
  <c r="E14" i="22"/>
  <c r="G14" i="22" s="1"/>
  <c r="F15" i="22" s="1"/>
  <c r="D15" i="22" s="1"/>
  <c r="C15" i="22" s="1"/>
  <c r="E20" i="6" s="1" a="1"/>
  <c r="N20" i="14"/>
  <c r="O20" i="14" s="1"/>
  <c r="C18" i="15"/>
  <c r="M26" i="23"/>
  <c r="L25" i="14"/>
  <c r="D21" i="15" l="1"/>
  <c r="Q22" i="23"/>
  <c r="P11" i="23"/>
  <c r="D10" i="15" s="1"/>
  <c r="Q11" i="21"/>
  <c r="P23" i="21"/>
  <c r="P25" i="23"/>
  <c r="C24" i="15"/>
  <c r="C19" i="15"/>
  <c r="O15" i="6"/>
  <c r="E24" i="23" a="1"/>
  <c r="E15" i="22"/>
  <c r="G15" i="22" s="1"/>
  <c r="F16" i="22" s="1"/>
  <c r="D16" i="22" s="1"/>
  <c r="C20" i="15"/>
  <c r="D19" i="15"/>
  <c r="D18" i="15"/>
  <c r="M25" i="14"/>
  <c r="N26" i="23"/>
  <c r="R22" i="23" l="1"/>
  <c r="E21" i="15"/>
  <c r="Q11" i="23"/>
  <c r="E10" i="15" s="1"/>
  <c r="R11" i="21"/>
  <c r="Q23" i="21"/>
  <c r="Q25" i="23"/>
  <c r="D24" i="15"/>
  <c r="C16" i="22"/>
  <c r="F24" i="23" a="1"/>
  <c r="D20" i="15"/>
  <c r="E19" i="15"/>
  <c r="E18" i="15"/>
  <c r="N25" i="14"/>
  <c r="O25" i="14" s="1"/>
  <c r="O26" i="23"/>
  <c r="S22" i="23" l="1"/>
  <c r="F21" i="15"/>
  <c r="R11" i="23"/>
  <c r="F10" i="15" s="1"/>
  <c r="S11" i="21"/>
  <c r="R23" i="21"/>
  <c r="R25" i="23"/>
  <c r="E24" i="15"/>
  <c r="E16" i="22"/>
  <c r="G16" i="22" s="1"/>
  <c r="F20" i="6" a="1"/>
  <c r="E20" i="15"/>
  <c r="F19" i="15"/>
  <c r="F18" i="15"/>
  <c r="C25" i="15"/>
  <c r="P26" i="23"/>
  <c r="T22" i="23" l="1"/>
  <c r="G21" i="15"/>
  <c r="S11" i="23"/>
  <c r="G10" i="15" s="1"/>
  <c r="S23" i="21"/>
  <c r="T11" i="21"/>
  <c r="S25" i="23"/>
  <c r="F24" i="15"/>
  <c r="F20" i="15"/>
  <c r="G19" i="15"/>
  <c r="G18" i="15"/>
  <c r="F17" i="22"/>
  <c r="D17" i="22" s="1"/>
  <c r="G24" i="23" s="1" a="1"/>
  <c r="D25" i="15"/>
  <c r="Q26" i="23"/>
  <c r="U22" i="23" l="1"/>
  <c r="H21" i="15"/>
  <c r="T11" i="23"/>
  <c r="H10" i="15" s="1"/>
  <c r="U11" i="21"/>
  <c r="T23" i="21"/>
  <c r="T25" i="23"/>
  <c r="G24" i="15"/>
  <c r="G20" i="15"/>
  <c r="H19" i="15"/>
  <c r="H18" i="15"/>
  <c r="C17" i="22"/>
  <c r="G20" i="6" s="1" a="1"/>
  <c r="R26" i="23"/>
  <c r="E25" i="15"/>
  <c r="I21" i="15" l="1"/>
  <c r="V22" i="23"/>
  <c r="U11" i="23"/>
  <c r="I10" i="15" s="1"/>
  <c r="U23" i="21"/>
  <c r="V11" i="21"/>
  <c r="U25" i="23"/>
  <c r="H24" i="15"/>
  <c r="H20" i="15"/>
  <c r="I19" i="15"/>
  <c r="I18" i="15"/>
  <c r="E17" i="22"/>
  <c r="F25" i="15"/>
  <c r="S26" i="23"/>
  <c r="W22" i="23" l="1"/>
  <c r="J21" i="15"/>
  <c r="V11" i="23"/>
  <c r="J10" i="15" s="1"/>
  <c r="W11" i="21"/>
  <c r="X11" i="21" s="1"/>
  <c r="X11" i="23" s="1"/>
  <c r="L10" i="15" s="1"/>
  <c r="V23" i="21"/>
  <c r="V25" i="23"/>
  <c r="I24" i="15"/>
  <c r="I20" i="15"/>
  <c r="J19" i="15"/>
  <c r="J18" i="15"/>
  <c r="G17" i="22"/>
  <c r="G25" i="15"/>
  <c r="T26" i="23"/>
  <c r="X22" i="23" l="1"/>
  <c r="K21" i="15"/>
  <c r="W11" i="23"/>
  <c r="K10" i="15" s="1"/>
  <c r="W23" i="21"/>
  <c r="W25" i="23"/>
  <c r="J24" i="15"/>
  <c r="J20" i="15"/>
  <c r="K19" i="15"/>
  <c r="K18" i="15"/>
  <c r="F18" i="22"/>
  <c r="D18" i="22" s="1"/>
  <c r="X23" i="21"/>
  <c r="Y11" i="21"/>
  <c r="Y11" i="23" s="1"/>
  <c r="M10" i="15" s="1"/>
  <c r="U26" i="23"/>
  <c r="H25" i="15"/>
  <c r="Y22" i="23" l="1"/>
  <c r="L21" i="15"/>
  <c r="X25" i="23"/>
  <c r="K24" i="15"/>
  <c r="C18" i="22"/>
  <c r="H20" i="6" s="1" a="1"/>
  <c r="H24" i="23" a="1"/>
  <c r="K20" i="15"/>
  <c r="L19" i="15"/>
  <c r="L18" i="15"/>
  <c r="Z11" i="21"/>
  <c r="Z11" i="23" s="1"/>
  <c r="N10" i="15" s="1"/>
  <c r="Y23" i="21"/>
  <c r="V26" i="23"/>
  <c r="I25" i="15"/>
  <c r="M21" i="15" l="1"/>
  <c r="Z22" i="23"/>
  <c r="Y25" i="23"/>
  <c r="L24" i="15"/>
  <c r="E18" i="22"/>
  <c r="G18" i="22" s="1"/>
  <c r="F19" i="22" s="1"/>
  <c r="D19" i="22" s="1"/>
  <c r="I24" i="23" s="1" a="1"/>
  <c r="L20" i="15"/>
  <c r="M19" i="15"/>
  <c r="M18" i="15"/>
  <c r="AA11" i="21"/>
  <c r="AA11" i="23" s="1"/>
  <c r="C10" i="18" s="1"/>
  <c r="Z23" i="21"/>
  <c r="J25" i="15"/>
  <c r="W26" i="23"/>
  <c r="AA22" i="23" l="1"/>
  <c r="C21" i="18" s="1"/>
  <c r="N21" i="15"/>
  <c r="O21" i="15" s="1"/>
  <c r="Z25" i="23"/>
  <c r="M24" i="15"/>
  <c r="AB22" i="23"/>
  <c r="M20" i="15"/>
  <c r="N19" i="15"/>
  <c r="O19" i="15" s="1"/>
  <c r="N18" i="15"/>
  <c r="O18" i="15" s="1"/>
  <c r="AB11" i="21"/>
  <c r="AB11" i="23" s="1"/>
  <c r="D10" i="18" s="1"/>
  <c r="AA23" i="21"/>
  <c r="K25" i="15"/>
  <c r="X26" i="23"/>
  <c r="AA25" i="23" l="1"/>
  <c r="N24" i="15"/>
  <c r="O24" i="15" s="1"/>
  <c r="AC22" i="23"/>
  <c r="D21" i="18"/>
  <c r="N20" i="15"/>
  <c r="O20" i="15" s="1"/>
  <c r="C19" i="18"/>
  <c r="C18" i="18"/>
  <c r="AC11" i="21"/>
  <c r="AC11" i="23" s="1"/>
  <c r="E10" i="18" s="1"/>
  <c r="AB23" i="21"/>
  <c r="L25" i="15"/>
  <c r="Y26" i="23"/>
  <c r="AB25" i="23" l="1"/>
  <c r="C24" i="18"/>
  <c r="AD22" i="23"/>
  <c r="E21" i="18"/>
  <c r="C20" i="18"/>
  <c r="D19" i="18"/>
  <c r="D18" i="18"/>
  <c r="AC23" i="21"/>
  <c r="AD11" i="21"/>
  <c r="AD11" i="23" s="1"/>
  <c r="F10" i="18" s="1"/>
  <c r="M25" i="15"/>
  <c r="Z26" i="23"/>
  <c r="AC25" i="23" l="1"/>
  <c r="D24" i="18"/>
  <c r="AE22" i="23"/>
  <c r="F21" i="18"/>
  <c r="D20" i="18"/>
  <c r="E19" i="18"/>
  <c r="E18" i="18"/>
  <c r="AD23" i="21"/>
  <c r="AE11" i="21"/>
  <c r="AE11" i="23" s="1"/>
  <c r="G10" i="18" s="1"/>
  <c r="N25" i="15"/>
  <c r="AA26" i="23"/>
  <c r="C25" i="18" s="1"/>
  <c r="AD25" i="23" l="1"/>
  <c r="E24" i="18"/>
  <c r="G21" i="18"/>
  <c r="AF22" i="23"/>
  <c r="O25" i="15"/>
  <c r="E20" i="18"/>
  <c r="F19" i="18"/>
  <c r="F18" i="18"/>
  <c r="AF11" i="21"/>
  <c r="AF11" i="23" s="1"/>
  <c r="H10" i="18" s="1"/>
  <c r="AE23" i="21"/>
  <c r="AB26" i="23"/>
  <c r="D25" i="18" s="1"/>
  <c r="AE25" i="23" l="1"/>
  <c r="F24" i="18"/>
  <c r="AG22" i="23"/>
  <c r="H21" i="18"/>
  <c r="F20" i="18"/>
  <c r="G19" i="18"/>
  <c r="G18" i="18"/>
  <c r="AG11" i="21"/>
  <c r="AG11" i="23" s="1"/>
  <c r="I10" i="18" s="1"/>
  <c r="AF23" i="21"/>
  <c r="AC26" i="23"/>
  <c r="E25" i="18" s="1"/>
  <c r="AF25" i="23" l="1"/>
  <c r="G24" i="18"/>
  <c r="AH22" i="23"/>
  <c r="I21" i="18"/>
  <c r="G20" i="18"/>
  <c r="H19" i="18"/>
  <c r="H18" i="18"/>
  <c r="AH11" i="21"/>
  <c r="AH11" i="23" s="1"/>
  <c r="J10" i="18" s="1"/>
  <c r="AG23" i="21"/>
  <c r="AD26" i="23"/>
  <c r="F25" i="18" s="1"/>
  <c r="AG25" i="23" l="1"/>
  <c r="H24" i="18"/>
  <c r="J21" i="18"/>
  <c r="AI22" i="23"/>
  <c r="H20" i="18"/>
  <c r="I19" i="18"/>
  <c r="I18" i="18"/>
  <c r="AI11" i="21"/>
  <c r="AI11" i="23" s="1"/>
  <c r="K10" i="18" s="1"/>
  <c r="AH23" i="21"/>
  <c r="AE26" i="23"/>
  <c r="G25" i="18" s="1"/>
  <c r="AH25" i="23" l="1"/>
  <c r="I24" i="18"/>
  <c r="K21" i="18"/>
  <c r="AJ22" i="23"/>
  <c r="I20" i="18"/>
  <c r="J19" i="18"/>
  <c r="J18" i="18"/>
  <c r="AJ11" i="21"/>
  <c r="AJ11" i="23" s="1"/>
  <c r="L10" i="18" s="1"/>
  <c r="AI23" i="21"/>
  <c r="AF26" i="23"/>
  <c r="H25" i="18" s="1"/>
  <c r="AI25" i="23" l="1"/>
  <c r="J24" i="18"/>
  <c r="AK22" i="23"/>
  <c r="L21" i="18"/>
  <c r="J20" i="18"/>
  <c r="K19" i="18"/>
  <c r="K18" i="18"/>
  <c r="AK11" i="21"/>
  <c r="AK11" i="23" s="1"/>
  <c r="M10" i="18" s="1"/>
  <c r="AJ23" i="21"/>
  <c r="AG26" i="23"/>
  <c r="I25" i="18" s="1"/>
  <c r="AJ25" i="23" l="1"/>
  <c r="K24" i="18"/>
  <c r="AL22" i="23"/>
  <c r="N21" i="18" s="1"/>
  <c r="M21" i="18"/>
  <c r="K20" i="18"/>
  <c r="L19" i="18"/>
  <c r="L18" i="18"/>
  <c r="AK23" i="21"/>
  <c r="AL11" i="21"/>
  <c r="AH26" i="23"/>
  <c r="J25" i="18" s="1"/>
  <c r="AK25" i="23" l="1"/>
  <c r="L24" i="18"/>
  <c r="O21" i="18"/>
  <c r="AL23" i="21"/>
  <c r="AL11" i="23"/>
  <c r="N10" i="18" s="1"/>
  <c r="L20" i="18"/>
  <c r="M19" i="18"/>
  <c r="N19" i="18"/>
  <c r="M18" i="18"/>
  <c r="N18" i="18"/>
  <c r="AI26" i="23"/>
  <c r="K25" i="18" s="1"/>
  <c r="AL25" i="23" l="1"/>
  <c r="N24" i="18" s="1"/>
  <c r="M24" i="18"/>
  <c r="O19" i="18"/>
  <c r="O18" i="18"/>
  <c r="N20" i="18"/>
  <c r="M20" i="18"/>
  <c r="AJ26" i="23"/>
  <c r="L25" i="18" s="1"/>
  <c r="G32" i="7"/>
  <c r="O24" i="18" l="1"/>
  <c r="O20" i="18"/>
  <c r="AK26" i="23"/>
  <c r="M25" i="18" s="1"/>
  <c r="C32" i="7"/>
  <c r="AL26" i="23" l="1"/>
  <c r="N25" i="18" s="1"/>
  <c r="O25" i="18" s="1"/>
  <c r="H32" i="7"/>
  <c r="D32" i="7"/>
  <c r="I32" i="7" l="1"/>
  <c r="E19" i="22" l="1"/>
  <c r="G19" i="22" l="1"/>
  <c r="F20" i="22" s="1"/>
  <c r="D20" i="22" l="1"/>
  <c r="E20" i="22" l="1"/>
  <c r="G20" i="22" s="1"/>
  <c r="F21" i="22" s="1"/>
  <c r="J24" i="23" a="1"/>
  <c r="D21" i="22" l="1"/>
  <c r="E21" i="22" l="1"/>
  <c r="G21" i="22" s="1"/>
  <c r="F22" i="22" s="1"/>
  <c r="K24" i="23" a="1"/>
  <c r="D22" i="22" l="1"/>
  <c r="E22" i="22" l="1"/>
  <c r="G22" i="22" s="1"/>
  <c r="F23" i="22" s="1"/>
  <c r="L24" i="23" a="1"/>
  <c r="D23" i="22" l="1"/>
  <c r="E23" i="22" l="1"/>
  <c r="G23" i="22" s="1"/>
  <c r="F24" i="22" s="1"/>
  <c r="M24" i="23" a="1"/>
  <c r="D24" i="22" l="1"/>
  <c r="E24" i="22" l="1"/>
  <c r="H10" i="22" s="1"/>
  <c r="I10" i="22" s="1"/>
  <c r="N24" i="23" a="1"/>
  <c r="H12" i="22" l="1"/>
  <c r="G24" i="22"/>
  <c r="F25" i="22" s="1"/>
  <c r="D25" i="22" s="1"/>
  <c r="E25" i="22" l="1"/>
  <c r="O24" i="23" a="1"/>
  <c r="G25" i="22" l="1"/>
  <c r="F26" i="22" s="1"/>
  <c r="D26" i="22" s="1"/>
  <c r="H13" i="22"/>
  <c r="E26" i="22" l="1"/>
  <c r="P24" i="23" a="1"/>
  <c r="H14" i="22" l="1"/>
  <c r="G26" i="22"/>
  <c r="F27" i="22" s="1"/>
  <c r="D27" i="22" s="1"/>
  <c r="E27" i="22" l="1"/>
  <c r="Q24" i="23" a="1"/>
  <c r="G27" i="22" l="1"/>
  <c r="F28" i="22" s="1"/>
  <c r="D28" i="22" s="1"/>
  <c r="H15" i="22"/>
  <c r="E28" i="22" l="1"/>
  <c r="R24" i="23" a="1"/>
  <c r="G28" i="22" l="1"/>
  <c r="F29" i="22" s="1"/>
  <c r="H16" i="22"/>
  <c r="D29" i="22" l="1"/>
  <c r="E29" i="22" l="1"/>
  <c r="S24" i="23" a="1"/>
  <c r="H17" i="22" l="1"/>
  <c r="G29" i="22"/>
  <c r="F30" i="22" s="1"/>
  <c r="D30" i="22" s="1"/>
  <c r="T24" i="23" l="1" a="1"/>
  <c r="E30" i="22"/>
  <c r="G30" i="22" l="1"/>
  <c r="F31" i="22" s="1"/>
  <c r="D31" i="22" s="1"/>
  <c r="H18" i="22"/>
  <c r="U24" i="23" l="1" a="1"/>
  <c r="E31" i="22"/>
  <c r="H19" i="22" l="1"/>
  <c r="G31" i="22"/>
  <c r="F32" i="22" s="1"/>
  <c r="D32" i="22" l="1"/>
  <c r="E32" i="22" l="1"/>
  <c r="V24" i="23" a="1"/>
  <c r="G32" i="22" l="1"/>
  <c r="F33" i="22" s="1"/>
  <c r="H20" i="22"/>
  <c r="D33" i="22" l="1"/>
  <c r="W24" i="23" l="1" a="1"/>
  <c r="E33" i="22"/>
  <c r="G33" i="22" l="1"/>
  <c r="F34" i="22" s="1"/>
  <c r="H21" i="22"/>
  <c r="D34" i="22" l="1"/>
  <c r="E34" i="22" l="1"/>
  <c r="X24" i="23" a="1"/>
  <c r="G34" i="22" l="1"/>
  <c r="F35" i="22" s="1"/>
  <c r="H22" i="22"/>
  <c r="D35" i="22" l="1"/>
  <c r="Y24" i="23" l="1" a="1"/>
  <c r="E35" i="22"/>
  <c r="G35" i="22" l="1"/>
  <c r="F36" i="22" s="1"/>
  <c r="H23" i="22"/>
  <c r="D36" i="22" l="1"/>
  <c r="Z24" i="23" l="1" a="1"/>
  <c r="E36" i="22"/>
  <c r="G36" i="22" l="1"/>
  <c r="F37" i="22" s="1"/>
  <c r="H24" i="22"/>
  <c r="D37" i="22" l="1"/>
  <c r="AA24" i="23" l="1" a="1"/>
  <c r="E37" i="22"/>
  <c r="G37" i="22" l="1"/>
  <c r="F38" i="22" s="1"/>
  <c r="H25" i="22"/>
  <c r="D38" i="22" l="1"/>
  <c r="AB24" i="23" l="1" a="1"/>
  <c r="E38" i="22"/>
  <c r="G38" i="22" l="1"/>
  <c r="F39" i="22" s="1"/>
  <c r="H26" i="22"/>
  <c r="D39" i="22" l="1"/>
  <c r="AC24" i="23" l="1" a="1"/>
  <c r="E39" i="22"/>
  <c r="G39" i="22" l="1"/>
  <c r="F40" i="22" s="1"/>
  <c r="H27" i="22"/>
  <c r="D40" i="22" l="1"/>
  <c r="AD24" i="23" l="1" a="1"/>
  <c r="E40" i="22"/>
  <c r="G40" i="22" l="1"/>
  <c r="F41" i="22" s="1"/>
  <c r="H28" i="22"/>
  <c r="D41" i="22" l="1"/>
  <c r="E41" i="22" l="1"/>
  <c r="AE24" i="23" a="1"/>
  <c r="G41" i="22" l="1"/>
  <c r="F42" i="22" s="1"/>
  <c r="H29" i="22"/>
  <c r="D42" i="22" l="1"/>
  <c r="AF24" i="23" l="1" a="1"/>
  <c r="E42" i="22"/>
  <c r="G42" i="22" l="1"/>
  <c r="F43" i="22" s="1"/>
  <c r="H30" i="22"/>
  <c r="D43" i="22" l="1"/>
  <c r="AG24" i="23" l="1" a="1"/>
  <c r="E43" i="22"/>
  <c r="G43" i="22" l="1"/>
  <c r="F44" i="22" s="1"/>
  <c r="H31" i="22"/>
  <c r="D44" i="22" l="1"/>
  <c r="AH24" i="23" l="1" a="1"/>
  <c r="E44" i="22"/>
  <c r="G44" i="22" l="1"/>
  <c r="F45" i="22" s="1"/>
  <c r="H32" i="22"/>
  <c r="D45" i="22" l="1"/>
  <c r="E45" i="22" l="1"/>
  <c r="AI24" i="23" a="1"/>
  <c r="G45" i="22" l="1"/>
  <c r="F46" i="22" s="1"/>
  <c r="H33" i="22"/>
  <c r="D46" i="22" l="1"/>
  <c r="E46" i="22" l="1"/>
  <c r="AJ24" i="23" a="1"/>
  <c r="G46" i="22" l="1"/>
  <c r="F47" i="22" s="1"/>
  <c r="H34" i="22"/>
  <c r="D47" i="22" l="1"/>
  <c r="AK24" i="23" l="1" a="1"/>
  <c r="E47" i="22"/>
  <c r="G47" i="22" l="1"/>
  <c r="F48" i="22" s="1"/>
  <c r="H35" i="22"/>
  <c r="D48" i="22" l="1"/>
  <c r="E48" i="22" l="1"/>
  <c r="AL24" i="23" a="1"/>
  <c r="G48" i="22" l="1"/>
  <c r="F49" i="22" s="1"/>
  <c r="D49" i="22" s="1"/>
  <c r="E49" i="22" s="1"/>
  <c r="H36" i="22"/>
  <c r="G49" i="22" l="1"/>
  <c r="F50" i="22" s="1"/>
  <c r="H37" i="22"/>
  <c r="D50" i="22" l="1"/>
  <c r="E50" i="22" s="1"/>
  <c r="G50" i="22" s="1"/>
  <c r="F51" i="22" s="1"/>
  <c r="D51" i="22" l="1"/>
  <c r="E51" i="22" s="1"/>
  <c r="G51" i="22" s="1"/>
  <c r="F52" i="22" s="1"/>
  <c r="H38" i="22"/>
  <c r="D52" i="22" l="1"/>
  <c r="E52" i="22" s="1"/>
  <c r="G52" i="22" s="1"/>
  <c r="F53" i="22" s="1"/>
  <c r="H39" i="22"/>
  <c r="D53" i="22" l="1"/>
  <c r="E53" i="22" s="1"/>
  <c r="H40" i="22"/>
  <c r="H41" i="22" l="1"/>
  <c r="G53" i="22"/>
  <c r="F54" i="22" s="1"/>
  <c r="D54" i="22" l="1"/>
  <c r="E54" i="22" s="1"/>
  <c r="G54" i="22" s="1"/>
  <c r="F55" i="22" s="1"/>
  <c r="D55" i="22" s="1"/>
  <c r="E55" i="22" s="1"/>
  <c r="H42" i="22" l="1"/>
  <c r="H43" i="22"/>
  <c r="G55" i="22"/>
  <c r="F56" i="22" s="1"/>
  <c r="D56" i="22" l="1"/>
  <c r="E56" i="22" s="1"/>
  <c r="G56" i="22" s="1"/>
  <c r="F57" i="22" s="1"/>
  <c r="D57" i="22" l="1"/>
  <c r="E57" i="22" s="1"/>
  <c r="G57" i="22" s="1"/>
  <c r="F58" i="22" s="1"/>
  <c r="H44" i="22"/>
  <c r="D58" i="22" l="1"/>
  <c r="E58" i="22" s="1"/>
  <c r="G58" i="22" s="1"/>
  <c r="F59" i="22" s="1"/>
  <c r="H45" i="22"/>
  <c r="D59" i="22" l="1"/>
  <c r="E59" i="22" s="1"/>
  <c r="G59" i="22" s="1"/>
  <c r="F60" i="22" s="1"/>
  <c r="H46" i="22"/>
  <c r="D60" i="22" l="1"/>
  <c r="E60" i="22" s="1"/>
  <c r="G60" i="22" s="1"/>
  <c r="F61" i="22" s="1"/>
  <c r="H47" i="22"/>
  <c r="D61" i="22" l="1"/>
  <c r="E61" i="22" s="1"/>
  <c r="H48" i="22"/>
  <c r="H49" i="22" l="1"/>
  <c r="G61" i="22"/>
  <c r="F62" i="22" s="1"/>
  <c r="D62" i="22" l="1"/>
  <c r="E62" i="22" s="1"/>
  <c r="G62" i="22" s="1"/>
  <c r="F63" i="22" s="1"/>
  <c r="H50" i="22" l="1"/>
  <c r="D63" i="22"/>
  <c r="E63" i="22" s="1"/>
  <c r="H51" i="22" l="1"/>
  <c r="G63" i="22"/>
  <c r="F64" i="22" s="1"/>
  <c r="D64" i="22" l="1"/>
  <c r="E64" i="22" s="1"/>
  <c r="G64" i="22" s="1"/>
  <c r="F65" i="22" s="1"/>
  <c r="H52" i="22" l="1"/>
  <c r="D65" i="22"/>
  <c r="E65" i="22" s="1"/>
  <c r="H53" i="22" l="1"/>
  <c r="G65" i="22"/>
  <c r="F66" i="22" s="1"/>
  <c r="D66" i="22" l="1"/>
  <c r="E66" i="22" s="1"/>
  <c r="G66" i="22" s="1"/>
  <c r="F67" i="22" s="1"/>
  <c r="H54" i="22" l="1"/>
  <c r="D67" i="22"/>
  <c r="E67" i="22" s="1"/>
  <c r="G67" i="22" s="1"/>
  <c r="F68" i="22" s="1"/>
  <c r="D68" i="22" l="1"/>
  <c r="E68" i="22" s="1"/>
  <c r="G68" i="22" s="1"/>
  <c r="F69" i="22" s="1"/>
  <c r="H55" i="22"/>
  <c r="D69" i="22" l="1"/>
  <c r="E69" i="22" s="1"/>
  <c r="G69" i="22" s="1"/>
  <c r="F70" i="22" s="1"/>
  <c r="H56" i="22"/>
  <c r="D70" i="22" l="1"/>
  <c r="E70" i="22" s="1"/>
  <c r="G70" i="22" s="1"/>
  <c r="F71" i="22" s="1"/>
  <c r="D71" i="22" s="1"/>
  <c r="E71" i="22" s="1"/>
  <c r="H57" i="22"/>
  <c r="H59" i="22" l="1"/>
  <c r="G71" i="22"/>
  <c r="F72" i="22" s="1"/>
  <c r="H58" i="22"/>
  <c r="D72" i="22" l="1"/>
  <c r="E72" i="22" s="1"/>
  <c r="G72" i="22" s="1"/>
  <c r="F73" i="22" s="1"/>
  <c r="D73" i="22" l="1"/>
  <c r="E73" i="22" s="1"/>
  <c r="H60" i="22"/>
  <c r="H61" i="22" l="1"/>
  <c r="G73" i="22"/>
  <c r="F74" i="22" s="1"/>
  <c r="D74" i="22" l="1"/>
  <c r="E74" i="22" s="1"/>
  <c r="G74" i="22" s="1"/>
  <c r="F75" i="22" s="1"/>
  <c r="H62" i="22" l="1"/>
  <c r="D75" i="22"/>
  <c r="E75" i="22" s="1"/>
  <c r="H63" i="22" l="1"/>
  <c r="G75" i="22"/>
  <c r="F76" i="22" s="1"/>
  <c r="D76" i="22" l="1"/>
  <c r="E76" i="22" s="1"/>
  <c r="G76" i="22" s="1"/>
  <c r="F77" i="22" s="1"/>
  <c r="H64" i="22" l="1"/>
  <c r="D77" i="22"/>
  <c r="E77" i="22" s="1"/>
  <c r="H65" i="22" l="1"/>
  <c r="G77" i="22"/>
  <c r="F78" i="22" s="1"/>
  <c r="J23" i="14"/>
  <c r="F23" i="15"/>
  <c r="N23" i="15"/>
  <c r="K23" i="14"/>
  <c r="H23" i="14"/>
  <c r="D23" i="15"/>
  <c r="L23" i="15"/>
  <c r="I23" i="14"/>
  <c r="E23" i="15"/>
  <c r="M23" i="15"/>
  <c r="C23" i="14"/>
  <c r="G23" i="15"/>
  <c r="E23" i="14"/>
  <c r="I23" i="15"/>
  <c r="D23" i="14"/>
  <c r="L23" i="14"/>
  <c r="H23" i="15"/>
  <c r="F23" i="14"/>
  <c r="N23" i="14"/>
  <c r="J23" i="15"/>
  <c r="M23" i="14"/>
  <c r="G23" i="14"/>
  <c r="C23" i="15"/>
  <c r="K23" i="15"/>
  <c r="O20" i="6"/>
  <c r="D78" i="22" l="1"/>
  <c r="E78" i="22" s="1"/>
  <c r="G78" i="22" s="1"/>
  <c r="F79" i="22" s="1"/>
  <c r="O23" i="14"/>
  <c r="O23" i="15"/>
  <c r="H66" i="22" l="1"/>
  <c r="D79" i="22"/>
  <c r="E79" i="22" s="1"/>
  <c r="H67" i="22" l="1"/>
  <c r="G79" i="22"/>
  <c r="F80" i="22" s="1"/>
  <c r="D80" i="22" l="1"/>
  <c r="E80" i="22" s="1"/>
  <c r="G80" i="22" s="1"/>
  <c r="F81" i="22" s="1"/>
  <c r="H68" i="22" l="1"/>
  <c r="D81" i="22"/>
  <c r="E81" i="22" s="1"/>
  <c r="H69" i="22" l="1"/>
  <c r="G81" i="22"/>
  <c r="F82" i="22" s="1"/>
  <c r="D82" i="22" l="1"/>
  <c r="E82" i="22" s="1"/>
  <c r="G82" i="22" s="1"/>
  <c r="F83" i="22" s="1"/>
  <c r="H70" i="22" l="1"/>
  <c r="D83" i="22"/>
  <c r="E83" i="22" s="1"/>
  <c r="H71" i="22" l="1"/>
  <c r="G83" i="22"/>
  <c r="F84" i="22" s="1"/>
  <c r="D84" i="22" l="1"/>
  <c r="E84" i="22" s="1"/>
  <c r="G84" i="22" s="1"/>
  <c r="H80" i="22" l="1"/>
  <c r="I68" i="22"/>
  <c r="I70" i="22"/>
  <c r="H82" i="22"/>
  <c r="H81" i="22"/>
  <c r="I69" i="22"/>
  <c r="H78" i="22"/>
  <c r="H79" i="22"/>
  <c r="I67" i="22"/>
  <c r="H77" i="22"/>
  <c r="I12" i="22"/>
  <c r="I14" i="22"/>
  <c r="H73" i="22"/>
  <c r="I33" i="22"/>
  <c r="I23" i="22"/>
  <c r="I57" i="22"/>
  <c r="H75" i="22"/>
  <c r="I63" i="22"/>
  <c r="I66" i="22"/>
  <c r="I16" i="22"/>
  <c r="I47" i="22"/>
  <c r="I26" i="22"/>
  <c r="I31" i="22"/>
  <c r="H76" i="22"/>
  <c r="I29" i="22"/>
  <c r="I61" i="22"/>
  <c r="I25" i="22"/>
  <c r="I65" i="22"/>
  <c r="I53" i="22"/>
  <c r="I22" i="22"/>
  <c r="I49" i="22"/>
  <c r="I21" i="22"/>
  <c r="I27" i="22"/>
  <c r="I40" i="22"/>
  <c r="I36" i="22"/>
  <c r="I18" i="22"/>
  <c r="I34" i="22"/>
  <c r="I44" i="22"/>
  <c r="I56" i="22"/>
  <c r="I42" i="22"/>
  <c r="H74" i="22"/>
  <c r="I15" i="22"/>
  <c r="I37" i="22"/>
  <c r="I19" i="22"/>
  <c r="I48" i="22"/>
  <c r="I30" i="22"/>
  <c r="I58" i="22"/>
  <c r="I20" i="22"/>
  <c r="I51" i="22"/>
  <c r="I35" i="22"/>
  <c r="I32" i="22"/>
  <c r="I17" i="22"/>
  <c r="I13" i="22"/>
  <c r="I46" i="22"/>
  <c r="I59" i="22"/>
  <c r="H72" i="22"/>
  <c r="I50" i="22"/>
  <c r="I64" i="22"/>
  <c r="I62" i="22"/>
  <c r="I43" i="22"/>
  <c r="I41" i="22"/>
  <c r="I38" i="22"/>
  <c r="I54" i="22"/>
  <c r="I60" i="22"/>
  <c r="I24" i="22"/>
  <c r="I55" i="22"/>
  <c r="I28" i="22"/>
  <c r="I52" i="22"/>
  <c r="I45" i="22"/>
  <c r="I39" i="22"/>
  <c r="H83" i="22"/>
  <c r="I71" i="22"/>
  <c r="N23" i="18"/>
  <c r="M23" i="18"/>
  <c r="L23" i="18"/>
  <c r="K23" i="18"/>
  <c r="J23" i="18"/>
  <c r="I23" i="18"/>
  <c r="H23" i="18"/>
  <c r="G23" i="18"/>
  <c r="F23" i="18"/>
  <c r="E23" i="18"/>
  <c r="D23" i="18"/>
  <c r="C23" i="18"/>
  <c r="O23" i="18" s="1"/>
  <c r="D11" i="24"/>
  <c r="E11" i="24"/>
  <c r="U32" i="24"/>
  <c r="J32" i="24"/>
  <c r="L32" i="24"/>
  <c r="O32" i="24"/>
  <c r="P32" i="24"/>
  <c r="R32" i="24"/>
  <c r="Z32" i="24"/>
  <c r="AH32" i="24"/>
  <c r="K32" i="24"/>
  <c r="Y32" i="24"/>
  <c r="AE32" i="24"/>
  <c r="AK32" i="24"/>
  <c r="E32" i="24"/>
  <c r="T32" i="24"/>
  <c r="AB32" i="24"/>
  <c r="AJ32" i="24"/>
  <c r="V32" i="24"/>
  <c r="AA32" i="24"/>
  <c r="AC32" i="24"/>
  <c r="AI32" i="24"/>
  <c r="C32" i="24"/>
  <c r="F32" i="24"/>
  <c r="W32" i="24"/>
  <c r="AD32" i="24"/>
  <c r="AL32" i="24"/>
  <c r="N32" i="24"/>
  <c r="S32" i="24"/>
  <c r="AG32" i="24"/>
  <c r="I32" i="24"/>
  <c r="X32" i="24"/>
  <c r="AF32" i="24"/>
  <c r="Q32" i="24"/>
  <c r="D32" i="24"/>
  <c r="H32" i="24"/>
  <c r="G32" i="24" l="1"/>
  <c r="M32" i="24"/>
  <c r="H11" i="24"/>
  <c r="I11" i="24" s="1"/>
  <c r="F11" i="24"/>
  <c r="Y33" i="24" l="1"/>
  <c r="Y34" i="24" s="1"/>
  <c r="Y23" i="23" s="1"/>
  <c r="T33" i="24"/>
  <c r="T34" i="24" s="1"/>
  <c r="T23" i="23" s="1"/>
  <c r="D33" i="24"/>
  <c r="D34" i="24" s="1"/>
  <c r="D23" i="23" s="1"/>
  <c r="C33" i="24"/>
  <c r="C34" i="24" s="1"/>
  <c r="C23" i="23" s="1"/>
  <c r="AL33" i="24"/>
  <c r="AL34" i="24" s="1"/>
  <c r="AL23" i="23" s="1"/>
  <c r="AI33" i="24"/>
  <c r="AI34" i="24" s="1"/>
  <c r="AI23" i="23" s="1"/>
  <c r="AD33" i="24"/>
  <c r="AD34" i="24" s="1"/>
  <c r="AD23" i="23" s="1"/>
  <c r="U33" i="24"/>
  <c r="U34" i="24" s="1"/>
  <c r="U23" i="23" s="1"/>
  <c r="R33" i="24"/>
  <c r="R34" i="24" s="1"/>
  <c r="R23" i="23" s="1"/>
  <c r="M33" i="24"/>
  <c r="M34" i="24" s="1"/>
  <c r="M23" i="23" s="1"/>
  <c r="J33" i="24"/>
  <c r="J34" i="24" s="1"/>
  <c r="J23" i="23" s="1"/>
  <c r="G33" i="24"/>
  <c r="G34" i="24" s="1"/>
  <c r="G23" i="23" s="1"/>
  <c r="AF33" i="24"/>
  <c r="AF34" i="24" s="1"/>
  <c r="AF23" i="23" s="1"/>
  <c r="X33" i="24"/>
  <c r="X34" i="24" s="1"/>
  <c r="X23" i="23" s="1"/>
  <c r="AK33" i="24"/>
  <c r="AK34" i="24" s="1"/>
  <c r="AK23" i="23" s="1"/>
  <c r="AH33" i="24"/>
  <c r="AH34" i="24" s="1"/>
  <c r="AH23" i="23" s="1"/>
  <c r="S33" i="24"/>
  <c r="S34" i="24" s="1"/>
  <c r="S23" i="23" s="1"/>
  <c r="P33" i="24"/>
  <c r="P34" i="24" s="1"/>
  <c r="P23" i="23" s="1"/>
  <c r="AJ33" i="24"/>
  <c r="AJ34" i="24" s="1"/>
  <c r="AJ23" i="23" s="1"/>
  <c r="AG33" i="24"/>
  <c r="AG34" i="24" s="1"/>
  <c r="AG23" i="23" s="1"/>
  <c r="AB33" i="24"/>
  <c r="AB34" i="24" s="1"/>
  <c r="AB23" i="23" s="1"/>
  <c r="Z33" i="24"/>
  <c r="Z34" i="24" s="1"/>
  <c r="Z23" i="23" s="1"/>
  <c r="V33" i="24"/>
  <c r="V34" i="24" s="1"/>
  <c r="V23" i="23" s="1"/>
  <c r="Q33" i="24"/>
  <c r="Q34" i="24" s="1"/>
  <c r="Q23" i="23" s="1"/>
  <c r="O33" i="24"/>
  <c r="O34" i="24" s="1"/>
  <c r="O23" i="23" s="1"/>
  <c r="K33" i="24"/>
  <c r="K34" i="24" s="1"/>
  <c r="K23" i="23" s="1"/>
  <c r="H33" i="24"/>
  <c r="H34" i="24" s="1"/>
  <c r="H23" i="23" s="1"/>
  <c r="F33" i="24"/>
  <c r="F34" i="24" s="1"/>
  <c r="F23" i="23" s="1"/>
  <c r="AA33" i="24"/>
  <c r="AA34" i="24" s="1"/>
  <c r="AA23" i="23" s="1"/>
  <c r="W33" i="24"/>
  <c r="W34" i="24" s="1"/>
  <c r="W23" i="23" s="1"/>
  <c r="N33" i="24"/>
  <c r="N34" i="24" s="1"/>
  <c r="N23" i="23" s="1"/>
  <c r="I33" i="24"/>
  <c r="I34" i="24" s="1"/>
  <c r="I23" i="23" s="1"/>
  <c r="E33" i="24"/>
  <c r="E34" i="24" s="1"/>
  <c r="E23" i="23" s="1"/>
  <c r="L33" i="24"/>
  <c r="L34" i="24" s="1"/>
  <c r="L23" i="23" s="1"/>
  <c r="AE33" i="24"/>
  <c r="AE34" i="24" s="1"/>
  <c r="AE23" i="23" s="1"/>
  <c r="AC33" i="24"/>
  <c r="AC34" i="24" s="1"/>
  <c r="AC23" i="23" s="1"/>
  <c r="AC28" i="23"/>
  <c r="E22" i="18"/>
  <c r="AE28" i="23"/>
  <c r="G22" i="18"/>
  <c r="G28" i="18" s="1"/>
  <c r="G29" i="18" s="1"/>
  <c r="M22" i="15" l="1"/>
  <c r="M28" i="15" s="1"/>
  <c r="M29" i="15" s="1"/>
  <c r="Y28" i="23"/>
  <c r="H22" i="15"/>
  <c r="H28" i="15" s="1"/>
  <c r="H29" i="15" s="1"/>
  <c r="T28" i="23"/>
  <c r="D18" i="6"/>
  <c r="D23" i="6" s="1"/>
  <c r="D24" i="6" s="1"/>
  <c r="D28" i="23"/>
  <c r="D22" i="14"/>
  <c r="D28" i="14" s="1"/>
  <c r="D29" i="14" s="1"/>
  <c r="C22" i="14"/>
  <c r="C18" i="6"/>
  <c r="C28" i="23"/>
  <c r="N22" i="18"/>
  <c r="N28" i="18" s="1"/>
  <c r="N29" i="18" s="1"/>
  <c r="AL28" i="23"/>
  <c r="AI28" i="23"/>
  <c r="K22" i="18"/>
  <c r="K28" i="18" s="1"/>
  <c r="K29" i="18" s="1"/>
  <c r="AD28" i="23"/>
  <c r="F22" i="18"/>
  <c r="F28" i="18" s="1"/>
  <c r="F29" i="18" s="1"/>
  <c r="I22" i="15"/>
  <c r="I28" i="15" s="1"/>
  <c r="I29" i="15" s="1"/>
  <c r="U28" i="23"/>
  <c r="R28" i="23"/>
  <c r="F22" i="15"/>
  <c r="F28" i="15" s="1"/>
  <c r="F29" i="15" s="1"/>
  <c r="M18" i="6"/>
  <c r="M23" i="6" s="1"/>
  <c r="M24" i="6" s="1"/>
  <c r="M22" i="14"/>
  <c r="M28" i="14" s="1"/>
  <c r="M29" i="14" s="1"/>
  <c r="M28" i="23"/>
  <c r="J28" i="23"/>
  <c r="J18" i="6"/>
  <c r="J23" i="6" s="1"/>
  <c r="J24" i="6" s="1"/>
  <c r="J22" i="14"/>
  <c r="J28" i="14" s="1"/>
  <c r="J29" i="14" s="1"/>
  <c r="G22" i="14"/>
  <c r="G28" i="14" s="1"/>
  <c r="G29" i="14" s="1"/>
  <c r="G28" i="23"/>
  <c r="G18" i="6"/>
  <c r="G23" i="6" s="1"/>
  <c r="G24" i="6" s="1"/>
  <c r="H22" i="18"/>
  <c r="H28" i="18" s="1"/>
  <c r="H29" i="18" s="1"/>
  <c r="AF28" i="23"/>
  <c r="L22" i="15"/>
  <c r="L28" i="15" s="1"/>
  <c r="L29" i="15" s="1"/>
  <c r="X28" i="23"/>
  <c r="M22" i="18"/>
  <c r="M28" i="18" s="1"/>
  <c r="M29" i="18" s="1"/>
  <c r="AK28" i="23"/>
  <c r="J22" i="18"/>
  <c r="J28" i="18" s="1"/>
  <c r="J29" i="18" s="1"/>
  <c r="AH28" i="23"/>
  <c r="G22" i="15"/>
  <c r="G28" i="15" s="1"/>
  <c r="G29" i="15" s="1"/>
  <c r="S28" i="23"/>
  <c r="D22" i="15"/>
  <c r="D28" i="15" s="1"/>
  <c r="D29" i="15" s="1"/>
  <c r="P28" i="23"/>
  <c r="AJ28" i="23"/>
  <c r="L22" i="18"/>
  <c r="L28" i="18" s="1"/>
  <c r="L29" i="18" s="1"/>
  <c r="AG28" i="23"/>
  <c r="I22" i="18"/>
  <c r="I28" i="18" s="1"/>
  <c r="I29" i="18" s="1"/>
  <c r="D22" i="18"/>
  <c r="D28" i="18" s="1"/>
  <c r="D29" i="18" s="1"/>
  <c r="AB28" i="23"/>
  <c r="N22" i="15"/>
  <c r="N28" i="15" s="1"/>
  <c r="N29" i="15" s="1"/>
  <c r="Z28" i="23"/>
  <c r="J22" i="15"/>
  <c r="J28" i="15" s="1"/>
  <c r="J29" i="15" s="1"/>
  <c r="V28" i="23"/>
  <c r="Q28" i="23"/>
  <c r="E22" i="15"/>
  <c r="E28" i="15" s="1"/>
  <c r="E29" i="15" s="1"/>
  <c r="C22" i="15"/>
  <c r="O28" i="23"/>
  <c r="K28" i="23"/>
  <c r="K18" i="6"/>
  <c r="K23" i="6" s="1"/>
  <c r="K24" i="6" s="1"/>
  <c r="K22" i="14"/>
  <c r="K28" i="14" s="1"/>
  <c r="K29" i="14" s="1"/>
  <c r="H22" i="14"/>
  <c r="H28" i="14" s="1"/>
  <c r="H29" i="14" s="1"/>
  <c r="H18" i="6"/>
  <c r="H23" i="6" s="1"/>
  <c r="H24" i="6" s="1"/>
  <c r="H28" i="23"/>
  <c r="F18" i="6"/>
  <c r="F23" i="6" s="1"/>
  <c r="F24" i="6" s="1"/>
  <c r="F22" i="14"/>
  <c r="F28" i="14" s="1"/>
  <c r="F29" i="14" s="1"/>
  <c r="F28" i="23"/>
  <c r="AA28" i="23"/>
  <c r="C22" i="18"/>
  <c r="K22" i="15"/>
  <c r="K28" i="15" s="1"/>
  <c r="K29" i="15" s="1"/>
  <c r="W28" i="23"/>
  <c r="N28" i="23"/>
  <c r="N18" i="6"/>
  <c r="N23" i="6" s="1"/>
  <c r="N24" i="6" s="1"/>
  <c r="N22" i="14"/>
  <c r="N28" i="14" s="1"/>
  <c r="N29" i="14" s="1"/>
  <c r="I18" i="6"/>
  <c r="I23" i="6" s="1"/>
  <c r="I24" i="6" s="1"/>
  <c r="I22" i="14"/>
  <c r="I28" i="14" s="1"/>
  <c r="I29" i="14" s="1"/>
  <c r="I28" i="23"/>
  <c r="E18" i="6"/>
  <c r="E23" i="6" s="1"/>
  <c r="E24" i="6" s="1"/>
  <c r="E22" i="14"/>
  <c r="E28" i="14" s="1"/>
  <c r="E29" i="14" s="1"/>
  <c r="E28" i="23"/>
  <c r="L18" i="6"/>
  <c r="L23" i="6" s="1"/>
  <c r="L24" i="6" s="1"/>
  <c r="L28" i="23"/>
  <c r="L22" i="14"/>
  <c r="L28" i="14" s="1"/>
  <c r="L29" i="14" s="1"/>
  <c r="E28" i="18"/>
  <c r="E29" i="18" s="1"/>
  <c r="O22" i="14" l="1"/>
  <c r="C28" i="14"/>
  <c r="C29" i="14" s="1"/>
  <c r="O18" i="6"/>
  <c r="O23" i="6" s="1"/>
  <c r="C23" i="6"/>
  <c r="C24" i="6" s="1"/>
  <c r="O22" i="15"/>
  <c r="O28" i="15" s="1"/>
  <c r="O29" i="15" s="1"/>
  <c r="O30" i="15" s="1"/>
  <c r="O31" i="15" s="1"/>
  <c r="C28" i="15"/>
  <c r="C29" i="15" s="1"/>
  <c r="C28" i="18"/>
  <c r="C29" i="18" s="1"/>
  <c r="O22" i="18"/>
  <c r="O28" i="18" s="1"/>
  <c r="O29" i="18" s="1"/>
  <c r="O30" i="18" s="1"/>
  <c r="O31" i="18" s="1"/>
  <c r="C16" i="25" l="1"/>
  <c r="C15" i="25" s="1"/>
  <c r="C6" i="25" s="1"/>
  <c r="O28" i="14"/>
  <c r="O29" i="14" s="1"/>
  <c r="O30" i="14" s="1"/>
  <c r="O31" i="14" s="1"/>
  <c r="O24" i="6"/>
  <c r="C25" i="6"/>
  <c r="D25" i="6" s="1"/>
  <c r="E25" i="6" s="1"/>
  <c r="F25" i="6" s="1"/>
  <c r="G25" i="6" s="1"/>
  <c r="H25" i="6" s="1"/>
  <c r="I25" i="6" s="1"/>
  <c r="J25" i="6" s="1"/>
  <c r="K25" i="6" s="1"/>
  <c r="L25" i="6" s="1"/>
  <c r="M25" i="6" s="1"/>
  <c r="N25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<sst xmlns="http://schemas.openxmlformats.org/spreadsheetml/2006/main" count="551" uniqueCount="247">
  <si>
    <t>Mobiliario</t>
  </si>
  <si>
    <t>Maquinaria</t>
  </si>
  <si>
    <t>Existencias</t>
  </si>
  <si>
    <t>INMOVILIZADO</t>
  </si>
  <si>
    <t>CIRCULANTE</t>
  </si>
  <si>
    <t>Otros gastos</t>
  </si>
  <si>
    <t>Concepto</t>
  </si>
  <si>
    <t>Importe</t>
  </si>
  <si>
    <t>%</t>
  </si>
  <si>
    <t>Instalaciones</t>
  </si>
  <si>
    <t>Elementos de transporte</t>
  </si>
  <si>
    <t>Derechos de traspaso</t>
  </si>
  <si>
    <t>Marcas y patentes</t>
  </si>
  <si>
    <t>Depósitos y fianzas</t>
  </si>
  <si>
    <t>Estudios previos</t>
  </si>
  <si>
    <t>Total</t>
  </si>
  <si>
    <t>Saldo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</si>
  <si>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</si>
  <si>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</si>
  <si>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</si>
  <si>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</si>
  <si>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</si>
  <si>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</si>
  <si>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</si>
  <si>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</si>
  <si>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</si>
  <si>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</si>
  <si>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</si>
  <si>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</si>
  <si>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Ingresos</t>
  </si>
  <si>
    <t>Ventas (clientes)</t>
  </si>
  <si>
    <t>Otros ingresos</t>
  </si>
  <si>
    <t>Ingresos financieros</t>
  </si>
  <si>
    <t>Total ingresos</t>
  </si>
  <si>
    <t>Costes</t>
  </si>
  <si>
    <t xml:space="preserve">Compras </t>
  </si>
  <si>
    <t>Alquiler local</t>
  </si>
  <si>
    <t>Suministros (agua, luz, gas,…)</t>
  </si>
  <si>
    <t>Servicios externos</t>
  </si>
  <si>
    <t>Costes financieros</t>
  </si>
  <si>
    <t>Amortizaciones</t>
  </si>
  <si>
    <t>Total costes</t>
  </si>
  <si>
    <t>Beneficios /Perdidas</t>
  </si>
  <si>
    <t>Cobros</t>
  </si>
  <si>
    <t>Total Cobros</t>
  </si>
  <si>
    <t>Pagos</t>
  </si>
  <si>
    <t>Suministros</t>
  </si>
  <si>
    <t>Gastos exteriores</t>
  </si>
  <si>
    <t>Alquileres</t>
  </si>
  <si>
    <t>Cuota microcrédito</t>
  </si>
  <si>
    <t>Total Pagos</t>
  </si>
  <si>
    <t>Saldo Mes</t>
  </si>
  <si>
    <t>Saldo Acumulado</t>
  </si>
  <si>
    <t>Balance de situación</t>
  </si>
  <si>
    <t>Activo</t>
  </si>
  <si>
    <t>Pasivo</t>
  </si>
  <si>
    <t>Cuenta</t>
  </si>
  <si>
    <t>Año 1</t>
  </si>
  <si>
    <t>Año 2</t>
  </si>
  <si>
    <t>Año 3</t>
  </si>
  <si>
    <t>NO EXIGIBLE</t>
  </si>
  <si>
    <t>Capital social</t>
  </si>
  <si>
    <t>Gastos de constitución</t>
  </si>
  <si>
    <t>Reserva Estatutaria</t>
  </si>
  <si>
    <t>INMATERIAL</t>
  </si>
  <si>
    <t>Reserva Legal</t>
  </si>
  <si>
    <t>Pérdidas y ganancias</t>
  </si>
  <si>
    <t>Aplicaciones informáticas</t>
  </si>
  <si>
    <t>MATERIAL</t>
  </si>
  <si>
    <t>Construcciones</t>
  </si>
  <si>
    <t>Otras instalaciones</t>
  </si>
  <si>
    <t>EXIGIBLE A LARGO PLAZO</t>
  </si>
  <si>
    <t>Deudas a largo plazo con entidades de crédito</t>
  </si>
  <si>
    <t>Equipos de proceso información</t>
  </si>
  <si>
    <t>Proveedores</t>
  </si>
  <si>
    <t>Efectos a pagar</t>
  </si>
  <si>
    <t>Otros inmovilizados</t>
  </si>
  <si>
    <t>EXIGIBLE A CORTO PLAZO</t>
  </si>
  <si>
    <t>Anticipos proveedores</t>
  </si>
  <si>
    <t>Clientes</t>
  </si>
  <si>
    <t>Acreedores</t>
  </si>
  <si>
    <t>Efectos a cobrar</t>
  </si>
  <si>
    <t>Anticipos a clientes</t>
  </si>
  <si>
    <t>Deudores varios</t>
  </si>
  <si>
    <t>Remuneraciones pendientes de pago</t>
  </si>
  <si>
    <t>Hacienda Pública deudora</t>
  </si>
  <si>
    <t>Hacienda Pública Acreedora</t>
  </si>
  <si>
    <t>Caja en efectivo</t>
  </si>
  <si>
    <t>Organismos de Seguridad Social</t>
  </si>
  <si>
    <t>Bancos</t>
  </si>
  <si>
    <t>Deudas a corto plazo con entidades de crédito</t>
  </si>
  <si>
    <t>SUMA TOTAL ACTIVO</t>
  </si>
  <si>
    <t>SUMA TOTAL PASIVO</t>
  </si>
  <si>
    <t>Edificios, locales y terrenos</t>
  </si>
  <si>
    <t>Préstamo</t>
  </si>
  <si>
    <t>Capital</t>
  </si>
  <si>
    <t>Tipo Interés</t>
  </si>
  <si>
    <t>Años</t>
  </si>
  <si>
    <t>Mes</t>
  </si>
  <si>
    <t>Cuota</t>
  </si>
  <si>
    <t>Interés</t>
  </si>
  <si>
    <t>Amort. Cap.</t>
  </si>
  <si>
    <t>Capital inicial</t>
  </si>
  <si>
    <t>Capital final</t>
  </si>
  <si>
    <t>Pendiente C/P</t>
  </si>
  <si>
    <t>Pendiente L/P</t>
  </si>
  <si>
    <t>Amortización acumulada inmovilizado</t>
  </si>
  <si>
    <t>Cobros por ventas</t>
  </si>
  <si>
    <t>Otros cobros</t>
  </si>
  <si>
    <t>Plan de inversiones iniciales</t>
  </si>
  <si>
    <t>Inmovilizado material</t>
  </si>
  <si>
    <t>Mobiliario y herramientas de oficina</t>
  </si>
  <si>
    <t>Maquinaria, herramientas</t>
  </si>
  <si>
    <t>Inmovilizado inmaterial</t>
  </si>
  <si>
    <t>Circulante</t>
  </si>
  <si>
    <t>Provisión de fondos</t>
  </si>
  <si>
    <t>Impuestos</t>
  </si>
  <si>
    <t>Beneficios</t>
  </si>
  <si>
    <t>Amortizacion acumulada inmovilizado</t>
  </si>
  <si>
    <t>Origen</t>
  </si>
  <si>
    <t>Importe en €</t>
  </si>
  <si>
    <t>Fondos propios</t>
  </si>
  <si>
    <t>Préstamo MicroBank*</t>
  </si>
  <si>
    <t>Otros</t>
  </si>
  <si>
    <t>*Préstamo MicroBank</t>
  </si>
  <si>
    <t>Importe:</t>
  </si>
  <si>
    <t>Plan de financiación</t>
  </si>
  <si>
    <t>Ahorros personales</t>
  </si>
  <si>
    <t>Ahorros de la familia y/o amigos</t>
  </si>
  <si>
    <t>Préstamos o créditos bancarios</t>
  </si>
  <si>
    <t>Créditos de proveedores</t>
  </si>
  <si>
    <t>Selección de clientes</t>
  </si>
  <si>
    <t>Servicios/productos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</si>
  <si>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</si>
  <si>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</si>
  <si>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</si>
  <si>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</si>
  <si>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</si>
  <si>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</si>
  <si>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</si>
  <si>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</si>
  <si>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Mes 21</t>
  </si>
  <si>
    <t>Mes 22</t>
  </si>
  <si>
    <t>Mes 23</t>
  </si>
  <si>
    <t>Mes 24</t>
  </si>
  <si>
    <t>Mes 25</t>
  </si>
  <si>
    <t>Mes 26</t>
  </si>
  <si>
    <t>Mes 27</t>
  </si>
  <si>
    <t>Mes 28</t>
  </si>
  <si>
    <t>Mes 29</t>
  </si>
  <si>
    <t>Mes 30</t>
  </si>
  <si>
    <t>Mes 31</t>
  </si>
  <si>
    <t>Mes 32</t>
  </si>
  <si>
    <t>Mes 33</t>
  </si>
  <si>
    <t>Mes 34</t>
  </si>
  <si>
    <t>Mes 35</t>
  </si>
  <si>
    <t>Mes 36</t>
  </si>
  <si>
    <t>Variación existencias</t>
  </si>
  <si>
    <t>Tributos</t>
  </si>
  <si>
    <t>Costes de personal</t>
  </si>
  <si>
    <t>Provisiones</t>
  </si>
  <si>
    <t>% anual de amortización</t>
  </si>
  <si>
    <t>Amortización mensual</t>
  </si>
  <si>
    <t>Amortización anual</t>
  </si>
  <si>
    <t>Carencia meses</t>
  </si>
  <si>
    <t>Fecha</t>
  </si>
  <si>
    <t>Variación de existencias</t>
  </si>
  <si>
    <t>Fecha inicio</t>
  </si>
  <si>
    <t>Compras</t>
  </si>
  <si>
    <t>Carencia (meses)</t>
  </si>
  <si>
    <t>Plazo amortización (cuotas mensuales)</t>
  </si>
  <si>
    <r>
      <t xml:space="preserve">Salario base </t>
    </r>
    <r>
      <rPr>
        <sz val="7"/>
        <color rgb="FF00B0F0"/>
        <rFont val="Verdana"/>
        <family val="2"/>
      </rPr>
      <t xml:space="preserve">ANUAL </t>
    </r>
    <r>
      <rPr>
        <sz val="7"/>
        <rFont val="Verdana"/>
        <family val="2"/>
      </rPr>
      <t xml:space="preserve">por categoría en euros brutos </t>
    </r>
  </si>
  <si>
    <t>Costes sociales en porcentaje (Normal 30%)</t>
  </si>
  <si>
    <t>Incremento estimado anual %)</t>
  </si>
  <si>
    <t>Seguros</t>
  </si>
  <si>
    <t>Ventas (€)</t>
  </si>
  <si>
    <t>Ventas totales €</t>
  </si>
  <si>
    <t>Ventas totales € sin IVA</t>
  </si>
  <si>
    <t>Gerente (autónomo)</t>
  </si>
  <si>
    <t>SS autónomo</t>
  </si>
  <si>
    <t>Costes de personal total €</t>
  </si>
  <si>
    <t>Fecha inicio préstamo</t>
  </si>
  <si>
    <t>Cuotas</t>
  </si>
  <si>
    <t>Agua y luz</t>
  </si>
  <si>
    <t>Teléfono e internet</t>
  </si>
  <si>
    <t>Limpieza y/o seguridad</t>
  </si>
  <si>
    <t>Gastos constitución empresa</t>
  </si>
  <si>
    <t>Material de oficina</t>
  </si>
  <si>
    <t>Mantenimiento equipos/maquinaria</t>
  </si>
  <si>
    <t>Marketing: promoción y comunicación</t>
  </si>
  <si>
    <t>Viajes/ gastos de representación</t>
  </si>
  <si>
    <t>Serv. profesionales (asesoría-gestoría, ..)</t>
  </si>
  <si>
    <t>Formación</t>
  </si>
  <si>
    <t>Anual</t>
  </si>
  <si>
    <t>Mensual</t>
  </si>
  <si>
    <t>Otros costes</t>
  </si>
  <si>
    <t>Equipamientos informáticos</t>
  </si>
  <si>
    <t>Alquiler de software y alojamiento web</t>
  </si>
  <si>
    <t>Costes generales y operativos</t>
  </si>
  <si>
    <t>Varios</t>
  </si>
  <si>
    <t>Costes totales €</t>
  </si>
  <si>
    <t>Coste total anual</t>
  </si>
  <si>
    <t>Coste total mensual</t>
  </si>
  <si>
    <r>
      <t>Salario base MENSUAL</t>
    </r>
    <r>
      <rPr>
        <sz val="7"/>
        <color rgb="FF00B0F0"/>
        <rFont val="Verdana"/>
        <family val="2"/>
      </rPr>
      <t xml:space="preserve"> </t>
    </r>
    <r>
      <rPr>
        <sz val="7"/>
        <rFont val="Verdana"/>
        <family val="2"/>
      </rPr>
      <t xml:space="preserve">por categoría en euros brutos </t>
    </r>
  </si>
  <si>
    <t>Empleados asalariados</t>
  </si>
  <si>
    <t>SS asalariados</t>
  </si>
  <si>
    <t>Costes de personal (UNIDADES)</t>
  </si>
  <si>
    <t>Coste unitario estimado</t>
  </si>
  <si>
    <t>Margen unitario</t>
  </si>
  <si>
    <t>Coste %</t>
  </si>
  <si>
    <t>Margen %</t>
  </si>
  <si>
    <t>Gastos</t>
  </si>
  <si>
    <t>Liquidación IVA</t>
  </si>
  <si>
    <t>Concesiones administrativas o explotación</t>
  </si>
  <si>
    <t>Tasas municipales / multas</t>
  </si>
  <si>
    <t>Ventas (unidades)</t>
  </si>
  <si>
    <t>Cuenta de resultados año 1</t>
  </si>
  <si>
    <t>Cuenta de resultados año 2</t>
  </si>
  <si>
    <t>Cuenta de resultados año 3</t>
  </si>
  <si>
    <t>Previsión de Tesorería año 1</t>
  </si>
  <si>
    <t>Ratios</t>
  </si>
  <si>
    <t>Total año</t>
  </si>
  <si>
    <t>Punto de equilibrio</t>
  </si>
  <si>
    <t>Alquiler/Ventas</t>
  </si>
  <si>
    <t>Coste del traspaso</t>
  </si>
  <si>
    <t>Alquiler</t>
  </si>
  <si>
    <t>Cálculo del punto de equilibrio</t>
  </si>
  <si>
    <t>Punto Muerto = Coste Fijo / % Margen Bruto</t>
  </si>
  <si>
    <t>Costes fijos</t>
  </si>
  <si>
    <t>Margen bruto</t>
  </si>
  <si>
    <t>% Margen Bruto</t>
  </si>
  <si>
    <t>Alquiler/Ventas: Importe mensual del alquiler/Ventas mensuales ponderadas</t>
  </si>
  <si>
    <t>Coste del traspaso:</t>
  </si>
  <si>
    <t>CT: Traspaso/ (Retribución del promotor + Beneficio)</t>
  </si>
  <si>
    <t>Costes de personal (personas)</t>
  </si>
  <si>
    <t>Costes sociales mensuales</t>
  </si>
  <si>
    <t>Otros gastos iniciales</t>
  </si>
  <si>
    <t>Ticket medio sin IVA</t>
  </si>
  <si>
    <t>Servicio / categoría</t>
  </si>
  <si>
    <t>Ticket medio con IVA</t>
  </si>
  <si>
    <t>Renting vehículo</t>
  </si>
  <si>
    <t>Precios y costes</t>
  </si>
  <si>
    <t>AgroPlaga App Base / PlagaScan gratuito</t>
  </si>
  <si>
    <t>AgroPlaga Premium / PlagaHub</t>
  </si>
  <si>
    <t>AgroClima IoT / Sensores y estación piloto</t>
  </si>
  <si>
    <t>Módulo Técnico / Panel Perito</t>
  </si>
  <si>
    <t>Enterprise Dashboard / NEXO Agro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</si>
</sst>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&quot; &quot;#,##0.00&quot;    &quot;;&quot;-&quot;#,##0.00&quot;    &quot;;&quot; -&quot;#&quot;    &quot;;&quot; &quot;@&quot; &quot;"/>
    <numFmt numFmtId="165" formatCode="#,##0.00&quot; &quot;[$€-403]&quot; &quot;;&quot;-&quot;#,##0.00&quot; &quot;[$€-403]&quot; &quot;;&quot;-&quot;#&quot; &quot;[$€-403]&quot; &quot;;&quot; &quot;@&quot; &quot;"/>
    <numFmt numFmtId="166" formatCode="_-* #,##0.00\ [$€-403]_-;\-* #,##0.00\ [$€-403]_-;_-* &quot;-&quot;??\ [$€-403]_-;_-@_-"/>
    <numFmt numFmtId="167" formatCode="#,##0.00&quot; &quot;[$€-403]&quot; &quot;;&quot;-&quot;#,##0.00&quot; &quot;[$€-403]&quot; &quot;;&quot;-&quot;#.00&quot; &quot;[$€-403]&quot; &quot;;&quot; &quot;@&quot; &quot;"/>
    <numFmt numFmtId="168" formatCode="#,##0.00\ &quot;€&quot;"/>
  </numFmts>
  <fonts count="49">
    <font>
      <sz val="11"/>
      <color theme="1"/>
      <name val="Calibri"/>
      <family val="2"/>
      <scheme val="minor"/>
    </font>
    <font>
      <b/>
      <sz val="10"/>
      <color indexed="62"/>
      <name val="Arial"/>
      <family val="2"/>
    </font>
    <font>
      <sz val="10"/>
      <color indexed="22"/>
      <name val="Arial"/>
      <family val="2"/>
    </font>
    <font>
      <sz val="10"/>
      <name val="Arial"/>
      <family val="2"/>
    </font>
    <font>
      <b/>
      <sz val="10"/>
      <color indexed="55"/>
      <name val="Arial"/>
      <family val="2"/>
    </font>
    <font>
      <sz val="8"/>
      <color rgb="FF000000"/>
      <name val="Century Gothic"/>
      <family val="2"/>
    </font>
    <font>
      <sz val="11"/>
      <color rgb="FF000000"/>
      <name val="Arial"/>
      <family val="2"/>
    </font>
    <font>
      <sz val="10"/>
      <color rgb="FF000000"/>
      <name val="Arial1"/>
    </font>
    <font>
      <b/>
      <sz val="14"/>
      <color theme="4" tint="-0.249977111117893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8"/>
      <color theme="1"/>
      <name val="Century Gothic"/>
      <family val="2"/>
    </font>
    <font>
      <sz val="8"/>
      <color theme="0"/>
      <name val="Century Gothic"/>
      <family val="2"/>
    </font>
    <font>
      <b/>
      <sz val="8"/>
      <color theme="1"/>
      <name val="Century Gothic"/>
      <family val="2"/>
    </font>
    <font>
      <b/>
      <sz val="11"/>
      <color rgb="FF000000"/>
      <name val="Arial"/>
      <family val="2"/>
    </font>
    <font>
      <sz val="8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FFFFFF"/>
      <name val="Calibri"/>
      <family val="2"/>
    </font>
    <font>
      <b/>
      <sz val="10"/>
      <color rgb="FFFFFFFF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color rgb="FFC0C0C0"/>
      <name val="Calibri"/>
      <family val="2"/>
    </font>
    <font>
      <sz val="10"/>
      <color theme="0"/>
      <name val="Calibri"/>
      <family val="2"/>
    </font>
    <font>
      <b/>
      <sz val="10"/>
      <color theme="0"/>
      <name val="Calibri"/>
      <family val="2"/>
    </font>
    <font>
      <b/>
      <sz val="10"/>
      <color rgb="FF0197D4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i/>
      <sz val="11"/>
      <name val="Verdana"/>
      <family val="2"/>
    </font>
    <font>
      <sz val="8"/>
      <name val="Century Gothic"/>
      <family val="2"/>
    </font>
    <font>
      <sz val="10"/>
      <color rgb="FF000000"/>
      <name val="Arial1"/>
      <family val="2"/>
    </font>
    <font>
      <b/>
      <sz val="11"/>
      <name val="Verdana"/>
      <family val="2"/>
    </font>
    <font>
      <sz val="10"/>
      <name val="Verdana"/>
      <family val="2"/>
    </font>
    <font>
      <sz val="7"/>
      <name val="Verdana"/>
      <family val="2"/>
    </font>
    <font>
      <sz val="7"/>
      <color rgb="FF00B0F0"/>
      <name val="Verdana"/>
      <family val="2"/>
    </font>
    <font>
      <sz val="11"/>
      <color theme="0"/>
      <name val="Calibri"/>
      <family val="2"/>
      <scheme val="minor"/>
    </font>
    <font>
      <i/>
      <sz val="10"/>
      <name val="Verdana"/>
      <family val="2"/>
    </font>
    <font>
      <sz val="10"/>
      <color theme="0"/>
      <name val="Verdana"/>
      <family val="2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sz val="10"/>
      <color theme="1"/>
      <name val="Arial"/>
      <family val="2"/>
    </font>
    <font>
      <b/>
      <sz val="10"/>
      <color rgb="FF00B050"/>
      <name val="Calibri"/>
      <family val="2"/>
    </font>
    <font>
      <b/>
      <sz val="14"/>
      <color rgb="FF00B050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197D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4" fontId="6" fillId="0" borderId="0" applyFont="0" applyBorder="0" applyProtection="0"/>
    <xf numFmtId="0" fontId="19" fillId="0" borderId="0"/>
    <xf numFmtId="9" fontId="25" fillId="0" borderId="0" applyFont="0" applyFill="0" applyBorder="0" applyAlignment="0" applyProtection="0"/>
    <xf numFmtId="44" fontId="25" fillId="0" borderId="0" applyFont="0" applyFill="0" applyBorder="0" applyAlignment="0" applyProtection="0"/>
  </cellStyleXfs>
  <cellXfs count="208">
    <xf numFmtId="0" fontId="0" fillId="0" borderId="0" xfId="0"/>
    <xf numFmtId="0" fontId="1" fillId="2" borderId="13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2" fontId="0" fillId="0" borderId="1" xfId="0" applyNumberFormat="1" applyBorder="1"/>
    <xf numFmtId="2" fontId="0" fillId="0" borderId="2" xfId="0" applyNumberFormat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3" fillId="4" borderId="17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19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4" borderId="15" xfId="0" applyFont="1" applyFill="1" applyBorder="1" applyAlignment="1">
      <alignment vertical="center" wrapText="1"/>
    </xf>
    <xf numFmtId="0" fontId="3" fillId="4" borderId="20" xfId="0" applyFont="1" applyFill="1" applyBorder="1" applyAlignment="1">
      <alignment vertical="center" wrapText="1"/>
    </xf>
    <xf numFmtId="0" fontId="3" fillId="4" borderId="21" xfId="0" applyFont="1" applyFill="1" applyBorder="1" applyAlignment="1">
      <alignment vertical="center" wrapText="1"/>
    </xf>
    <xf numFmtId="0" fontId="3" fillId="4" borderId="22" xfId="0" applyFont="1" applyFill="1" applyBorder="1" applyAlignment="1">
      <alignment vertical="center" wrapText="1"/>
    </xf>
    <xf numFmtId="0" fontId="3" fillId="4" borderId="26" xfId="0" applyFont="1" applyFill="1" applyBorder="1" applyAlignment="1">
      <alignment vertical="center" wrapText="1"/>
    </xf>
    <xf numFmtId="0" fontId="3" fillId="4" borderId="2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vertical="center" wrapText="1"/>
    </xf>
    <xf numFmtId="0" fontId="7" fillId="0" borderId="0" xfId="0" applyFont="1"/>
    <xf numFmtId="0" fontId="9" fillId="5" borderId="34" xfId="0" applyFont="1" applyFill="1" applyBorder="1" applyAlignment="1">
      <alignment horizontal="center"/>
    </xf>
    <xf numFmtId="166" fontId="10" fillId="0" borderId="35" xfId="0" applyNumberFormat="1" applyFont="1" applyBorder="1" applyAlignment="1">
      <alignment horizontal="center" vertical="center"/>
    </xf>
    <xf numFmtId="10" fontId="10" fillId="0" borderId="35" xfId="0" applyNumberFormat="1" applyFont="1" applyBorder="1" applyAlignment="1">
      <alignment horizontal="center" vertical="center"/>
    </xf>
    <xf numFmtId="0" fontId="10" fillId="0" borderId="35" xfId="0" applyFont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166" fontId="12" fillId="0" borderId="0" xfId="0" applyNumberFormat="1" applyFont="1" applyAlignment="1">
      <alignment horizontal="left" vertical="center"/>
    </xf>
    <xf numFmtId="0" fontId="13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4" fillId="0" borderId="0" xfId="0" applyFont="1"/>
    <xf numFmtId="165" fontId="5" fillId="0" borderId="36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166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wrapText="1"/>
    </xf>
    <xf numFmtId="166" fontId="0" fillId="0" borderId="0" xfId="0" applyNumberFormat="1"/>
    <xf numFmtId="166" fontId="15" fillId="0" borderId="0" xfId="0" applyNumberFormat="1" applyFont="1"/>
    <xf numFmtId="2" fontId="1" fillId="2" borderId="14" xfId="0" applyNumberFormat="1" applyFont="1" applyFill="1" applyBorder="1" applyAlignment="1">
      <alignment vertical="center" wrapText="1"/>
    </xf>
    <xf numFmtId="2" fontId="3" fillId="4" borderId="13" xfId="0" applyNumberFormat="1" applyFont="1" applyFill="1" applyBorder="1" applyAlignment="1">
      <alignment vertical="center" wrapText="1"/>
    </xf>
    <xf numFmtId="2" fontId="3" fillId="4" borderId="3" xfId="0" applyNumberFormat="1" applyFont="1" applyFill="1" applyBorder="1" applyAlignment="1">
      <alignment vertical="center" wrapText="1"/>
    </xf>
    <xf numFmtId="2" fontId="0" fillId="0" borderId="0" xfId="0" applyNumberFormat="1" applyAlignment="1">
      <alignment vertical="center" wrapText="1"/>
    </xf>
    <xf numFmtId="167" fontId="16" fillId="0" borderId="36" xfId="0" applyNumberFormat="1" applyFont="1" applyBorder="1" applyAlignment="1">
      <alignment horizontal="center" vertical="center"/>
    </xf>
    <xf numFmtId="0" fontId="18" fillId="6" borderId="1" xfId="0" applyFont="1" applyFill="1" applyBorder="1" applyAlignment="1">
      <alignment horizontal="left" vertical="center"/>
    </xf>
    <xf numFmtId="0" fontId="18" fillId="6" borderId="2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vertical="center"/>
    </xf>
    <xf numFmtId="0" fontId="18" fillId="7" borderId="2" xfId="0" applyFont="1" applyFill="1" applyBorder="1" applyAlignment="1">
      <alignment vertical="center"/>
    </xf>
    <xf numFmtId="0" fontId="18" fillId="7" borderId="4" xfId="0" applyFont="1" applyFill="1" applyBorder="1" applyAlignment="1">
      <alignment vertical="center"/>
    </xf>
    <xf numFmtId="0" fontId="18" fillId="6" borderId="2" xfId="2" applyFont="1" applyFill="1" applyBorder="1" applyAlignment="1">
      <alignment horizontal="center" vertical="center"/>
    </xf>
    <xf numFmtId="0" fontId="18" fillId="7" borderId="2" xfId="2" applyFont="1" applyFill="1" applyBorder="1" applyAlignment="1">
      <alignment vertical="center"/>
    </xf>
    <xf numFmtId="0" fontId="20" fillId="0" borderId="2" xfId="2" applyFont="1" applyBorder="1" applyAlignment="1">
      <alignment vertical="center"/>
    </xf>
    <xf numFmtId="0" fontId="23" fillId="8" borderId="2" xfId="2" applyFont="1" applyFill="1" applyBorder="1" applyAlignment="1">
      <alignment vertical="center"/>
    </xf>
    <xf numFmtId="8" fontId="17" fillId="7" borderId="2" xfId="2" applyNumberFormat="1" applyFont="1" applyFill="1" applyBorder="1" applyAlignment="1">
      <alignment vertical="center"/>
    </xf>
    <xf numFmtId="9" fontId="20" fillId="0" borderId="2" xfId="3" applyFont="1" applyBorder="1" applyAlignment="1">
      <alignment vertical="center"/>
    </xf>
    <xf numFmtId="8" fontId="0" fillId="0" borderId="0" xfId="0" applyNumberFormat="1" applyAlignment="1">
      <alignment vertical="center" wrapText="1"/>
    </xf>
    <xf numFmtId="8" fontId="3" fillId="4" borderId="13" xfId="0" applyNumberFormat="1" applyFont="1" applyFill="1" applyBorder="1" applyAlignment="1">
      <alignment vertical="center" wrapText="1"/>
    </xf>
    <xf numFmtId="44" fontId="0" fillId="0" borderId="0" xfId="4" applyFont="1" applyAlignment="1">
      <alignment vertical="center" wrapText="1"/>
    </xf>
    <xf numFmtId="44" fontId="3" fillId="4" borderId="3" xfId="4" applyFont="1" applyFill="1" applyBorder="1" applyAlignment="1">
      <alignment vertical="center" wrapText="1"/>
    </xf>
    <xf numFmtId="0" fontId="20" fillId="0" borderId="2" xfId="0" applyFont="1" applyBorder="1" applyAlignment="1">
      <alignment vertical="center"/>
    </xf>
    <xf numFmtId="0" fontId="18" fillId="6" borderId="16" xfId="0" applyFont="1" applyFill="1" applyBorder="1" applyAlignment="1">
      <alignment vertical="center"/>
    </xf>
    <xf numFmtId="0" fontId="18" fillId="6" borderId="11" xfId="0" applyFont="1" applyFill="1" applyBorder="1" applyAlignment="1">
      <alignment vertical="center"/>
    </xf>
    <xf numFmtId="0" fontId="18" fillId="6" borderId="10" xfId="0" applyFont="1" applyFill="1" applyBorder="1" applyAlignment="1">
      <alignment vertical="center"/>
    </xf>
    <xf numFmtId="0" fontId="28" fillId="0" borderId="0" xfId="0" applyFont="1" applyProtection="1">
      <protection locked="0"/>
    </xf>
    <xf numFmtId="0" fontId="0" fillId="0" borderId="2" xfId="0" applyBorder="1"/>
    <xf numFmtId="0" fontId="9" fillId="5" borderId="21" xfId="0" applyFont="1" applyFill="1" applyBorder="1" applyAlignment="1">
      <alignment horizontal="center"/>
    </xf>
    <xf numFmtId="0" fontId="30" fillId="0" borderId="0" xfId="0" applyFont="1"/>
    <xf numFmtId="165" fontId="29" fillId="0" borderId="36" xfId="0" applyNumberFormat="1" applyFont="1" applyBorder="1" applyAlignment="1">
      <alignment horizontal="center" vertical="center"/>
    </xf>
    <xf numFmtId="17" fontId="11" fillId="0" borderId="2" xfId="0" applyNumberFormat="1" applyFont="1" applyBorder="1" applyAlignment="1">
      <alignment horizontal="center"/>
    </xf>
    <xf numFmtId="0" fontId="8" fillId="5" borderId="32" xfId="0" applyFont="1" applyFill="1" applyBorder="1" applyAlignment="1">
      <alignment vertical="center"/>
    </xf>
    <xf numFmtId="0" fontId="8" fillId="5" borderId="33" xfId="0" applyFont="1" applyFill="1" applyBorder="1" applyAlignment="1">
      <alignment vertical="center"/>
    </xf>
    <xf numFmtId="0" fontId="9" fillId="5" borderId="39" xfId="0" applyFont="1" applyFill="1" applyBorder="1" applyAlignment="1">
      <alignment horizontal="center"/>
    </xf>
    <xf numFmtId="17" fontId="0" fillId="0" borderId="32" xfId="0" applyNumberFormat="1" applyBorder="1"/>
    <xf numFmtId="0" fontId="32" fillId="0" borderId="0" xfId="0" applyFont="1"/>
    <xf numFmtId="3" fontId="32" fillId="0" borderId="2" xfId="0" applyNumberFormat="1" applyFont="1" applyBorder="1" applyProtection="1">
      <protection locked="0"/>
    </xf>
    <xf numFmtId="9" fontId="32" fillId="0" borderId="2" xfId="0" applyNumberFormat="1" applyFont="1" applyBorder="1" applyProtection="1">
      <protection locked="0"/>
    </xf>
    <xf numFmtId="0" fontId="0" fillId="0" borderId="2" xfId="0" applyBorder="1" applyAlignment="1">
      <alignment vertical="center" wrapText="1"/>
    </xf>
    <xf numFmtId="168" fontId="0" fillId="0" borderId="2" xfId="0" applyNumberFormat="1" applyBorder="1"/>
    <xf numFmtId="17" fontId="18" fillId="6" borderId="13" xfId="0" applyNumberFormat="1" applyFont="1" applyFill="1" applyBorder="1" applyAlignment="1">
      <alignment horizontal="center" vertical="center"/>
    </xf>
    <xf numFmtId="168" fontId="17" fillId="7" borderId="2" xfId="2" applyNumberFormat="1" applyFont="1" applyFill="1" applyBorder="1" applyAlignment="1">
      <alignment vertical="center"/>
    </xf>
    <xf numFmtId="168" fontId="20" fillId="0" borderId="2" xfId="2" applyNumberFormat="1" applyFont="1" applyBorder="1" applyAlignment="1">
      <alignment vertical="center"/>
    </xf>
    <xf numFmtId="168" fontId="18" fillId="7" borderId="2" xfId="2" applyNumberFormat="1" applyFont="1" applyFill="1" applyBorder="1" applyAlignment="1">
      <alignment vertical="center"/>
    </xf>
    <xf numFmtId="168" fontId="22" fillId="8" borderId="2" xfId="2" applyNumberFormat="1" applyFont="1" applyFill="1" applyBorder="1" applyAlignment="1">
      <alignment vertical="center"/>
    </xf>
    <xf numFmtId="168" fontId="21" fillId="7" borderId="2" xfId="2" applyNumberFormat="1" applyFont="1" applyFill="1" applyBorder="1" applyAlignment="1">
      <alignment horizontal="right" vertical="center"/>
    </xf>
    <xf numFmtId="10" fontId="20" fillId="0" borderId="2" xfId="0" applyNumberFormat="1" applyFont="1" applyBorder="1" applyAlignment="1">
      <alignment horizontal="center" vertical="center"/>
    </xf>
    <xf numFmtId="10" fontId="22" fillId="8" borderId="2" xfId="0" applyNumberFormat="1" applyFont="1" applyFill="1" applyBorder="1" applyAlignment="1">
      <alignment horizontal="center" vertical="center"/>
    </xf>
    <xf numFmtId="0" fontId="35" fillId="8" borderId="0" xfId="0" applyFont="1" applyFill="1"/>
    <xf numFmtId="17" fontId="0" fillId="0" borderId="2" xfId="0" applyNumberFormat="1" applyBorder="1"/>
    <xf numFmtId="1" fontId="35" fillId="8" borderId="0" xfId="0" applyNumberFormat="1" applyFont="1" applyFill="1"/>
    <xf numFmtId="0" fontId="10" fillId="0" borderId="38" xfId="0" applyFont="1" applyBorder="1" applyAlignment="1">
      <alignment horizontal="center"/>
    </xf>
    <xf numFmtId="0" fontId="37" fillId="8" borderId="2" xfId="0" applyFont="1" applyFill="1" applyBorder="1" applyAlignment="1">
      <alignment horizontal="left" indent="1"/>
    </xf>
    <xf numFmtId="0" fontId="36" fillId="0" borderId="2" xfId="0" applyFont="1" applyBorder="1" applyAlignment="1">
      <alignment horizontal="left" indent="1"/>
    </xf>
    <xf numFmtId="0" fontId="32" fillId="0" borderId="2" xfId="0" applyFont="1" applyBorder="1" applyAlignment="1">
      <alignment horizontal="left" indent="1"/>
    </xf>
    <xf numFmtId="0" fontId="38" fillId="0" borderId="2" xfId="0" applyFont="1" applyBorder="1"/>
    <xf numFmtId="168" fontId="35" fillId="8" borderId="2" xfId="0" applyNumberFormat="1" applyFont="1" applyFill="1" applyBorder="1"/>
    <xf numFmtId="168" fontId="38" fillId="0" borderId="2" xfId="0" applyNumberFormat="1" applyFont="1" applyBorder="1"/>
    <xf numFmtId="0" fontId="18" fillId="6" borderId="7" xfId="0" applyFont="1" applyFill="1" applyBorder="1" applyAlignment="1">
      <alignment vertical="center"/>
    </xf>
    <xf numFmtId="0" fontId="18" fillId="6" borderId="8" xfId="0" applyFont="1" applyFill="1" applyBorder="1" applyAlignment="1">
      <alignment vertical="center"/>
    </xf>
    <xf numFmtId="0" fontId="18" fillId="6" borderId="9" xfId="0" applyFont="1" applyFill="1" applyBorder="1" applyAlignment="1">
      <alignment vertical="center"/>
    </xf>
    <xf numFmtId="0" fontId="18" fillId="6" borderId="12" xfId="0" applyFont="1" applyFill="1" applyBorder="1" applyAlignment="1">
      <alignment vertical="center"/>
    </xf>
    <xf numFmtId="0" fontId="18" fillId="6" borderId="1" xfId="0" applyFont="1" applyFill="1" applyBorder="1" applyAlignment="1">
      <alignment horizontal="center" vertical="center"/>
    </xf>
    <xf numFmtId="17" fontId="18" fillId="6" borderId="2" xfId="0" applyNumberFormat="1" applyFont="1" applyFill="1" applyBorder="1" applyAlignment="1">
      <alignment horizontal="center" vertical="center"/>
    </xf>
    <xf numFmtId="17" fontId="18" fillId="6" borderId="2" xfId="0" applyNumberFormat="1" applyFont="1" applyFill="1" applyBorder="1" applyAlignment="1">
      <alignment vertical="center"/>
    </xf>
    <xf numFmtId="0" fontId="18" fillId="6" borderId="2" xfId="0" applyFont="1" applyFill="1" applyBorder="1" applyAlignment="1">
      <alignment vertical="center"/>
    </xf>
    <xf numFmtId="0" fontId="18" fillId="7" borderId="0" xfId="0" applyFont="1" applyFill="1" applyAlignment="1">
      <alignment vertical="center"/>
    </xf>
    <xf numFmtId="10" fontId="0" fillId="0" borderId="0" xfId="0" applyNumberFormat="1"/>
    <xf numFmtId="2" fontId="0" fillId="10" borderId="1" xfId="0" applyNumberFormat="1" applyFill="1" applyBorder="1"/>
    <xf numFmtId="2" fontId="32" fillId="0" borderId="2" xfId="0" applyNumberFormat="1" applyFont="1" applyBorder="1" applyProtection="1">
      <protection locked="0"/>
    </xf>
    <xf numFmtId="0" fontId="31" fillId="0" borderId="2" xfId="0" applyFont="1" applyBorder="1"/>
    <xf numFmtId="0" fontId="33" fillId="0" borderId="2" xfId="0" applyFont="1" applyBorder="1" applyAlignment="1">
      <alignment horizontal="center" vertical="top" wrapText="1"/>
    </xf>
    <xf numFmtId="0" fontId="28" fillId="0" borderId="2" xfId="0" applyFont="1" applyBorder="1"/>
    <xf numFmtId="0" fontId="18" fillId="6" borderId="2" xfId="0" applyFont="1" applyFill="1" applyBorder="1" applyAlignment="1">
      <alignment horizontal="left" vertical="center"/>
    </xf>
    <xf numFmtId="2" fontId="0" fillId="10" borderId="2" xfId="0" applyNumberFormat="1" applyFill="1" applyBorder="1"/>
    <xf numFmtId="17" fontId="18" fillId="6" borderId="10" xfId="0" applyNumberFormat="1" applyFont="1" applyFill="1" applyBorder="1" applyAlignment="1">
      <alignment vertical="center"/>
    </xf>
    <xf numFmtId="2" fontId="18" fillId="7" borderId="0" xfId="0" applyNumberFormat="1" applyFont="1" applyFill="1" applyAlignment="1">
      <alignment vertical="center"/>
    </xf>
    <xf numFmtId="8" fontId="0" fillId="11" borderId="13" xfId="0" applyNumberFormat="1" applyFill="1" applyBorder="1"/>
    <xf numFmtId="0" fontId="39" fillId="11" borderId="2" xfId="0" applyFont="1" applyFill="1" applyBorder="1"/>
    <xf numFmtId="168" fontId="20" fillId="0" borderId="40" xfId="2" applyNumberFormat="1" applyFont="1" applyBorder="1" applyAlignment="1">
      <alignment vertical="center"/>
    </xf>
    <xf numFmtId="10" fontId="22" fillId="7" borderId="2" xfId="3" applyNumberFormat="1" applyFont="1" applyFill="1" applyBorder="1" applyAlignment="1">
      <alignment vertical="center"/>
    </xf>
    <xf numFmtId="10" fontId="20" fillId="0" borderId="2" xfId="3" applyNumberFormat="1" applyFont="1" applyBorder="1" applyAlignment="1">
      <alignment vertical="center"/>
    </xf>
    <xf numFmtId="10" fontId="22" fillId="8" borderId="2" xfId="3" applyNumberFormat="1" applyFont="1" applyFill="1" applyBorder="1" applyAlignment="1">
      <alignment vertical="center"/>
    </xf>
    <xf numFmtId="168" fontId="20" fillId="0" borderId="2" xfId="0" applyNumberFormat="1" applyFont="1" applyBorder="1" applyAlignment="1">
      <alignment vertical="center"/>
    </xf>
    <xf numFmtId="168" fontId="21" fillId="7" borderId="2" xfId="0" applyNumberFormat="1" applyFont="1" applyFill="1" applyBorder="1" applyAlignment="1">
      <alignment horizontal="right" vertical="center"/>
    </xf>
    <xf numFmtId="168" fontId="0" fillId="0" borderId="0" xfId="0" applyNumberFormat="1"/>
    <xf numFmtId="0" fontId="18" fillId="7" borderId="41" xfId="0" applyFont="1" applyFill="1" applyBorder="1" applyAlignment="1">
      <alignment vertical="center"/>
    </xf>
    <xf numFmtId="168" fontId="21" fillId="7" borderId="41" xfId="0" applyNumberFormat="1" applyFont="1" applyFill="1" applyBorder="1" applyAlignment="1">
      <alignment horizontal="right" vertical="center"/>
    </xf>
    <xf numFmtId="0" fontId="42" fillId="0" borderId="0" xfId="0" applyFont="1"/>
    <xf numFmtId="0" fontId="40" fillId="11" borderId="21" xfId="0" applyFont="1" applyFill="1" applyBorder="1" applyAlignment="1">
      <alignment horizontal="center"/>
    </xf>
    <xf numFmtId="0" fontId="40" fillId="12" borderId="2" xfId="0" applyFont="1" applyFill="1" applyBorder="1"/>
    <xf numFmtId="10" fontId="40" fillId="13" borderId="2" xfId="3" applyNumberFormat="1" applyFont="1" applyFill="1" applyBorder="1"/>
    <xf numFmtId="2" fontId="40" fillId="13" borderId="2" xfId="3" applyNumberFormat="1" applyFont="1" applyFill="1" applyBorder="1"/>
    <xf numFmtId="0" fontId="40" fillId="12" borderId="0" xfId="0" applyFont="1" applyFill="1"/>
    <xf numFmtId="2" fontId="40" fillId="12" borderId="0" xfId="0" applyNumberFormat="1" applyFont="1" applyFill="1"/>
    <xf numFmtId="0" fontId="40" fillId="12" borderId="10" xfId="0" applyFont="1" applyFill="1" applyBorder="1"/>
    <xf numFmtId="2" fontId="40" fillId="12" borderId="13" xfId="0" applyNumberFormat="1" applyFont="1" applyFill="1" applyBorder="1"/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5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9" fontId="40" fillId="13" borderId="2" xfId="3" applyFont="1" applyFill="1" applyBorder="1"/>
    <xf numFmtId="0" fontId="41" fillId="0" borderId="42" xfId="0" quotePrefix="1" applyFont="1" applyBorder="1"/>
    <xf numFmtId="168" fontId="0" fillId="0" borderId="43" xfId="0" applyNumberFormat="1" applyBorder="1"/>
    <xf numFmtId="0" fontId="27" fillId="0" borderId="44" xfId="0" applyFont="1" applyBorder="1"/>
    <xf numFmtId="168" fontId="0" fillId="0" borderId="37" xfId="0" applyNumberFormat="1" applyBorder="1"/>
    <xf numFmtId="0" fontId="0" fillId="0" borderId="37" xfId="0" applyBorder="1"/>
    <xf numFmtId="0" fontId="27" fillId="0" borderId="34" xfId="0" applyFont="1" applyBorder="1"/>
    <xf numFmtId="0" fontId="0" fillId="0" borderId="35" xfId="0" applyBorder="1"/>
    <xf numFmtId="168" fontId="0" fillId="0" borderId="13" xfId="0" applyNumberFormat="1" applyBorder="1"/>
    <xf numFmtId="168" fontId="18" fillId="7" borderId="2" xfId="0" applyNumberFormat="1" applyFont="1" applyFill="1" applyBorder="1" applyAlignment="1">
      <alignment vertical="center"/>
    </xf>
    <xf numFmtId="168" fontId="0" fillId="0" borderId="12" xfId="0" applyNumberFormat="1" applyBorder="1"/>
    <xf numFmtId="168" fontId="0" fillId="10" borderId="13" xfId="0" applyNumberFormat="1" applyFill="1" applyBorder="1"/>
    <xf numFmtId="168" fontId="0" fillId="10" borderId="12" xfId="0" applyNumberFormat="1" applyFill="1" applyBorder="1"/>
    <xf numFmtId="168" fontId="18" fillId="7" borderId="5" xfId="0" applyNumberFormat="1" applyFont="1" applyFill="1" applyBorder="1" applyAlignment="1">
      <alignment vertical="center"/>
    </xf>
    <xf numFmtId="168" fontId="18" fillId="7" borderId="6" xfId="0" applyNumberFormat="1" applyFont="1" applyFill="1" applyBorder="1" applyAlignment="1">
      <alignment vertical="center"/>
    </xf>
    <xf numFmtId="168" fontId="0" fillId="0" borderId="3" xfId="0" applyNumberFormat="1" applyBorder="1"/>
    <xf numFmtId="168" fontId="0" fillId="0" borderId="10" xfId="0" applyNumberFormat="1" applyBorder="1"/>
    <xf numFmtId="168" fontId="18" fillId="6" borderId="2" xfId="0" applyNumberFormat="1" applyFont="1" applyFill="1" applyBorder="1" applyAlignment="1">
      <alignment horizontal="left" vertical="center"/>
    </xf>
    <xf numFmtId="168" fontId="0" fillId="10" borderId="3" xfId="0" applyNumberFormat="1" applyFill="1" applyBorder="1"/>
    <xf numFmtId="168" fontId="18" fillId="6" borderId="3" xfId="0" applyNumberFormat="1" applyFont="1" applyFill="1" applyBorder="1" applyAlignment="1">
      <alignment horizontal="left" vertical="center"/>
    </xf>
    <xf numFmtId="168" fontId="0" fillId="10" borderId="2" xfId="0" applyNumberFormat="1" applyFill="1" applyBorder="1"/>
    <xf numFmtId="168" fontId="18" fillId="7" borderId="3" xfId="0" applyNumberFormat="1" applyFont="1" applyFill="1" applyBorder="1" applyAlignment="1">
      <alignment vertical="center"/>
    </xf>
    <xf numFmtId="168" fontId="40" fillId="13" borderId="2" xfId="0" applyNumberFormat="1" applyFont="1" applyFill="1" applyBorder="1" applyAlignment="1">
      <alignment horizontal="center"/>
    </xf>
    <xf numFmtId="168" fontId="40" fillId="13" borderId="2" xfId="3" applyNumberFormat="1" applyFont="1" applyFill="1" applyBorder="1"/>
    <xf numFmtId="168" fontId="35" fillId="8" borderId="0" xfId="0" applyNumberFormat="1" applyFont="1" applyFill="1"/>
    <xf numFmtId="8" fontId="0" fillId="0" borderId="2" xfId="0" applyNumberFormat="1" applyBorder="1" applyAlignment="1">
      <alignment horizontal="right" vertical="center" wrapText="1"/>
    </xf>
    <xf numFmtId="9" fontId="0" fillId="0" borderId="2" xfId="0" applyNumberFormat="1" applyBorder="1" applyAlignment="1">
      <alignment horizontal="right" vertical="center" wrapText="1"/>
    </xf>
    <xf numFmtId="2" fontId="0" fillId="0" borderId="13" xfId="0" applyNumberFormat="1" applyBorder="1"/>
    <xf numFmtId="0" fontId="18" fillId="14" borderId="2" xfId="2" applyFont="1" applyFill="1" applyBorder="1" applyAlignment="1">
      <alignment horizontal="center" vertical="center"/>
    </xf>
    <xf numFmtId="0" fontId="18" fillId="14" borderId="37" xfId="2" applyFont="1" applyFill="1" applyBorder="1" applyAlignment="1">
      <alignment horizontal="center" vertical="center"/>
    </xf>
    <xf numFmtId="0" fontId="47" fillId="9" borderId="10" xfId="2" applyFont="1" applyFill="1" applyBorder="1" applyAlignment="1">
      <alignment horizontal="center" vertical="center"/>
    </xf>
    <xf numFmtId="0" fontId="47" fillId="9" borderId="11" xfId="2" applyFont="1" applyFill="1" applyBorder="1" applyAlignment="1">
      <alignment horizontal="center" vertical="center"/>
    </xf>
    <xf numFmtId="0" fontId="47" fillId="9" borderId="13" xfId="2" applyFont="1" applyFill="1" applyBorder="1" applyAlignment="1">
      <alignment horizontal="center" vertical="center"/>
    </xf>
    <xf numFmtId="0" fontId="24" fillId="9" borderId="10" xfId="2" applyFont="1" applyFill="1" applyBorder="1" applyAlignment="1">
      <alignment horizontal="center" vertical="center"/>
    </xf>
    <xf numFmtId="0" fontId="24" fillId="9" borderId="11" xfId="2" applyFont="1" applyFill="1" applyBorder="1" applyAlignment="1">
      <alignment horizontal="center" vertical="center"/>
    </xf>
    <xf numFmtId="0" fontId="24" fillId="9" borderId="13" xfId="2" applyFont="1" applyFill="1" applyBorder="1" applyAlignment="1">
      <alignment horizontal="center" vertical="center"/>
    </xf>
    <xf numFmtId="0" fontId="18" fillId="6" borderId="16" xfId="0" applyFont="1" applyFill="1" applyBorder="1" applyAlignment="1">
      <alignment horizontal="center" vertical="center"/>
    </xf>
    <xf numFmtId="0" fontId="18" fillId="6" borderId="11" xfId="0" applyFont="1" applyFill="1" applyBorder="1" applyAlignment="1">
      <alignment horizontal="center" vertical="center"/>
    </xf>
    <xf numFmtId="0" fontId="18" fillId="6" borderId="13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  <xf numFmtId="168" fontId="18" fillId="6" borderId="10" xfId="0" applyNumberFormat="1" applyFont="1" applyFill="1" applyBorder="1" applyAlignment="1">
      <alignment horizontal="center" vertical="center"/>
    </xf>
    <xf numFmtId="168" fontId="18" fillId="6" borderId="11" xfId="0" applyNumberFormat="1" applyFont="1" applyFill="1" applyBorder="1" applyAlignment="1">
      <alignment horizontal="center" vertical="center"/>
    </xf>
    <xf numFmtId="168" fontId="18" fillId="6" borderId="12" xfId="0" applyNumberFormat="1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48" fillId="5" borderId="31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38" xfId="0" applyFont="1" applyFill="1" applyBorder="1" applyAlignment="1">
      <alignment horizontal="center" vertical="center"/>
    </xf>
    <xf numFmtId="168" fontId="18" fillId="6" borderId="13" xfId="0" applyNumberFormat="1" applyFont="1" applyFill="1" applyBorder="1" applyAlignment="1">
      <alignment horizontal="center" vertical="center"/>
    </xf>
  </cellXfs>
  <cellStyles count="5">
    <cellStyle name="Excel_BuiltIn_Comma" xfId="1" xr:uid="{BCED2623-0BA8-4454-88C5-9AA2682D4D10}"/>
    <cellStyle name="Moneda" xfId="4" builtinId="4"/>
    <cellStyle name="Normal" xfId="0" builtinId="0"/>
    <cellStyle name="Normal 2" xfId="2" xr:uid="{7781A9C4-8E69-449C-8214-E2FFDCB72C82}"/>
    <cellStyle name="Porcentaje" xfId="3" builtinId="5"/>
  </cellStyles>
  <dxfs count="6">
    <dxf>
      <font>
        <color rgb="FFFFFFFF"/>
        <family val="2"/>
      </font>
    </dxf>
    <dxf>
      <font>
        <condense val="0"/>
        <extend val="0"/>
        <color indexed="22"/>
      </font>
    </dxf>
    <dxf>
      <font>
        <color rgb="FFFFFFFF"/>
        <family val="2"/>
      </font>
    </dxf>
    <dxf>
      <font>
        <color rgb="FFFFFFFF"/>
        <family val="2"/>
      </font>
    </dxf>
    <dxf>
      <font>
        <color rgb="FFFFFFFF"/>
        <family val="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142875</xdr:rowOff>
    </xdr:from>
    <xdr:to>
      <xdr:col>0</xdr:col>
      <xdr:colOff>0</xdr:colOff>
      <xdr:row>2</xdr:row>
      <xdr:rowOff>771525</xdr:rowOff>
    </xdr:to>
    <xdr:pic>
      <xdr:nvPicPr>
        <xdr:cNvPr id="2" name="Picture 1" descr="Lobo MicroBank horitzontal blanc">
          <a:extLst>
            <a:ext uri="{FF2B5EF4-FFF2-40B4-BE49-F238E27FC236}">
              <a16:creationId xmlns:a16="http://schemas.microsoft.com/office/drawing/2014/main" id="{56CADD93-6F7C-4A8D-9204-583303D9B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3375"/>
          <a:ext cx="24574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55562</xdr:colOff>
      <xdr:row>1</xdr:row>
      <xdr:rowOff>23813</xdr:rowOff>
    </xdr:from>
    <xdr:to>
      <xdr:col>1</xdr:col>
      <xdr:colOff>2968625</xdr:colOff>
      <xdr:row>3</xdr:row>
      <xdr:rowOff>91948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F40141E-4C63-A1F3-D8E1-8D97C90A4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7562" y="214313"/>
          <a:ext cx="2913063" cy="10841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2</xdr:col>
      <xdr:colOff>636588</xdr:colOff>
      <xdr:row>6</xdr:row>
      <xdr:rowOff>150685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02391E-182D-4E0C-9CEB-F8DF2E3FA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" y="0"/>
          <a:ext cx="2913063" cy="10841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3</xdr:col>
      <xdr:colOff>493713</xdr:colOff>
      <xdr:row>6</xdr:row>
      <xdr:rowOff>17335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22DA151-8352-48F2-AFC6-4FB90658B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76200"/>
          <a:ext cx="2913063" cy="10841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152400</xdr:rowOff>
    </xdr:from>
    <xdr:to>
      <xdr:col>1</xdr:col>
      <xdr:colOff>3046413</xdr:colOff>
      <xdr:row>7</xdr:row>
      <xdr:rowOff>93535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F2BD89-25BC-4D21-82FF-D0676CE2A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350" y="342900"/>
          <a:ext cx="2913063" cy="10841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730250</xdr:colOff>
      <xdr:row>1</xdr:row>
      <xdr:rowOff>79375</xdr:rowOff>
    </xdr:from>
    <xdr:to>
      <xdr:col>2</xdr:col>
      <xdr:colOff>23813</xdr:colOff>
      <xdr:row>7</xdr:row>
      <xdr:rowOff>20510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859D58-8E8A-4CDE-A204-2631EB387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0250" y="269875"/>
          <a:ext cx="2913063" cy="10841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57150</xdr:rowOff>
    </xdr:from>
    <xdr:to>
      <xdr:col>2</xdr:col>
      <xdr:colOff>17463</xdr:colOff>
      <xdr:row>5</xdr:row>
      <xdr:rowOff>188785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EFDCAB-C175-4D18-B840-1004D4318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57150"/>
          <a:ext cx="2913063" cy="10841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15875</xdr:colOff>
      <xdr:row>0</xdr:row>
      <xdr:rowOff>71437</xdr:rowOff>
    </xdr:from>
    <xdr:to>
      <xdr:col>2</xdr:col>
      <xdr:colOff>15875</xdr:colOff>
      <xdr:row>6</xdr:row>
      <xdr:rowOff>12572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33391F-4219-4BC8-887D-1DA0545DC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875" y="71437"/>
          <a:ext cx="2913063" cy="10841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961159</xdr:colOff>
      <xdr:row>2</xdr:row>
      <xdr:rowOff>147205</xdr:rowOff>
    </xdr:from>
    <xdr:to>
      <xdr:col>3</xdr:col>
      <xdr:colOff>401927</xdr:colOff>
      <xdr:row>5</xdr:row>
      <xdr:rowOff>105658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EFF834-44E0-4FDB-9146-305397461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1159" y="528205"/>
          <a:ext cx="2913063" cy="10841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0</xdr:rowOff>
    </xdr:from>
    <xdr:to>
      <xdr:col>1</xdr:col>
      <xdr:colOff>228600</xdr:colOff>
      <xdr:row>0</xdr:row>
      <xdr:rowOff>0</xdr:rowOff>
    </xdr:to>
    <xdr:pic>
      <xdr:nvPicPr>
        <xdr:cNvPr id="2" name="Picture 1" descr="Lobo MicroBank horitzontal blanc">
          <a:extLst>
            <a:ext uri="{FF2B5EF4-FFF2-40B4-BE49-F238E27FC236}">
              <a16:creationId xmlns:a16="http://schemas.microsoft.com/office/drawing/2014/main" id="{C1FD97D2-E5A7-4215-BAAB-B8EE156D8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04775"/>
          <a:ext cx="2952750" cy="765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77931</xdr:colOff>
      <xdr:row>0</xdr:row>
      <xdr:rowOff>8659</xdr:rowOff>
    </xdr:from>
    <xdr:to>
      <xdr:col>3</xdr:col>
      <xdr:colOff>445221</xdr:colOff>
      <xdr:row>5</xdr:row>
      <xdr:rowOff>140294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E04905-26A6-4C3A-87D1-9289551E3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6408" y="8659"/>
          <a:ext cx="2913063" cy="10841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0</xdr:rowOff>
    </xdr:from>
    <xdr:to>
      <xdr:col>3</xdr:col>
      <xdr:colOff>388938</xdr:colOff>
      <xdr:row>5</xdr:row>
      <xdr:rowOff>131635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CEFD2D-4FE9-48B7-B4A2-E344115E8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1875" y="0"/>
          <a:ext cx="2913063" cy="10841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974480</xdr:colOff>
      <xdr:row>0</xdr:row>
      <xdr:rowOff>0</xdr:rowOff>
    </xdr:from>
    <xdr:to>
      <xdr:col>4</xdr:col>
      <xdr:colOff>55562</xdr:colOff>
      <xdr:row>3</xdr:row>
      <xdr:rowOff>512635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8658B5-AA30-4E96-B933-BA2C9EDB2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4480" y="0"/>
          <a:ext cx="2913063" cy="10841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icrobank%20GILDA/Plantilla%20Econ&#243;mico-Financiera%20MicroBank%20-%20GILDA4.xlsx" TargetMode="External"/><Relationship Id="rId2" Type="http://schemas.openxmlformats.org/officeDocument/2006/relationships/externalLinkPath" Target="https://ccalm-my.sharepoint.com/personal/mroman_camaradealmeria_es/Documents/MICROCREDITOS%20CAIXA/Microbank%20GILDA/Plantilla%20Econ&#243;mico-Financiera%20MicroBank%20-%20GILDA4.xlsx" TargetMode="External"/><Relationship Id="rId1" Type="http://schemas.openxmlformats.org/officeDocument/2006/relationships/externalLinkPath" Target="/personal/mroman_camaradealmeria_es/Documents/MICROCREDITOS%20CAIXA/Microbank%20GILDA/Plantilla%20Econ&#243;mico-Financiera%20MicroBank%20-%20GILDA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troducción de datos"/>
      <sheetName val="Fuentes de financiación"/>
      <sheetName val="Resumen ejecutivo"/>
      <sheetName val="Cuadro amortización crédito"/>
      <sheetName val="Personal"/>
      <sheetName val="Precios y costes"/>
      <sheetName val="Ventas"/>
      <sheetName val="Costes"/>
      <sheetName val="Cuenta de reslultados año1"/>
      <sheetName val="Cuenta de resultados año2"/>
      <sheetName val="Cuenta resultados año3"/>
      <sheetName val="Plan de Tesorería"/>
      <sheetName val="Balance"/>
      <sheetName val="Ratios"/>
    </sheetNames>
    <sheetDataSet>
      <sheetData sheetId="0">
        <row r="16">
          <cell r="C16">
            <v>0</v>
          </cell>
        </row>
      </sheetData>
      <sheetData sheetId="1"/>
      <sheetData sheetId="2"/>
      <sheetData sheetId="3"/>
      <sheetData sheetId="4">
        <row r="28">
          <cell r="C28">
            <v>1424.5</v>
          </cell>
          <cell r="D28">
            <v>1424.5</v>
          </cell>
          <cell r="E28">
            <v>1424.5</v>
          </cell>
          <cell r="F28">
            <v>1424.5</v>
          </cell>
          <cell r="G28">
            <v>1424.5</v>
          </cell>
          <cell r="H28">
            <v>1424.5</v>
          </cell>
          <cell r="I28">
            <v>1424.5</v>
          </cell>
          <cell r="J28">
            <v>1424.5</v>
          </cell>
          <cell r="K28">
            <v>1424.5</v>
          </cell>
          <cell r="L28">
            <v>1424.5</v>
          </cell>
          <cell r="M28">
            <v>1424.5</v>
          </cell>
          <cell r="N28">
            <v>1424.5</v>
          </cell>
          <cell r="O28">
            <v>1424.5</v>
          </cell>
          <cell r="P28">
            <v>1424.5</v>
          </cell>
          <cell r="Q28">
            <v>1424.5</v>
          </cell>
          <cell r="R28">
            <v>1424.5</v>
          </cell>
          <cell r="S28">
            <v>1424.5</v>
          </cell>
          <cell r="T28">
            <v>1424.5</v>
          </cell>
          <cell r="U28">
            <v>1424.5</v>
          </cell>
          <cell r="V28">
            <v>1424.5</v>
          </cell>
          <cell r="W28">
            <v>1424.5</v>
          </cell>
          <cell r="X28">
            <v>1424.5</v>
          </cell>
          <cell r="Y28">
            <v>1424.5</v>
          </cell>
          <cell r="Z28">
            <v>1424.5</v>
          </cell>
          <cell r="AA28">
            <v>1424.5</v>
          </cell>
          <cell r="AB28">
            <v>1424.5</v>
          </cell>
          <cell r="AC28">
            <v>1424.5</v>
          </cell>
          <cell r="AD28">
            <v>1424.5</v>
          </cell>
          <cell r="AE28">
            <v>1424.5</v>
          </cell>
          <cell r="AF28">
            <v>1424.5</v>
          </cell>
          <cell r="AG28">
            <v>1424.5</v>
          </cell>
          <cell r="AH28">
            <v>1424.5</v>
          </cell>
          <cell r="AI28">
            <v>1424.5</v>
          </cell>
          <cell r="AJ28">
            <v>1424.5</v>
          </cell>
          <cell r="AK28">
            <v>1424.5</v>
          </cell>
          <cell r="AL28">
            <v>1424.5</v>
          </cell>
        </row>
        <row r="29">
          <cell r="C29">
            <v>80</v>
          </cell>
          <cell r="D29">
            <v>80</v>
          </cell>
          <cell r="E29">
            <v>80</v>
          </cell>
          <cell r="F29">
            <v>80</v>
          </cell>
          <cell r="G29">
            <v>80</v>
          </cell>
          <cell r="H29">
            <v>80</v>
          </cell>
          <cell r="I29">
            <v>80</v>
          </cell>
          <cell r="J29">
            <v>80</v>
          </cell>
          <cell r="K29">
            <v>80</v>
          </cell>
          <cell r="L29">
            <v>80</v>
          </cell>
          <cell r="M29">
            <v>80</v>
          </cell>
          <cell r="N29">
            <v>80</v>
          </cell>
          <cell r="O29">
            <v>303</v>
          </cell>
          <cell r="P29">
            <v>303</v>
          </cell>
          <cell r="Q29">
            <v>303</v>
          </cell>
          <cell r="R29">
            <v>303</v>
          </cell>
          <cell r="S29">
            <v>303</v>
          </cell>
          <cell r="T29">
            <v>303</v>
          </cell>
          <cell r="U29">
            <v>303</v>
          </cell>
          <cell r="V29">
            <v>303</v>
          </cell>
          <cell r="W29">
            <v>303</v>
          </cell>
          <cell r="X29">
            <v>303</v>
          </cell>
          <cell r="Y29">
            <v>303</v>
          </cell>
          <cell r="Z29">
            <v>303</v>
          </cell>
          <cell r="AA29">
            <v>303</v>
          </cell>
          <cell r="AB29">
            <v>303</v>
          </cell>
          <cell r="AC29">
            <v>303</v>
          </cell>
          <cell r="AD29">
            <v>303</v>
          </cell>
          <cell r="AE29">
            <v>303</v>
          </cell>
          <cell r="AF29">
            <v>303</v>
          </cell>
          <cell r="AG29">
            <v>303</v>
          </cell>
          <cell r="AH29">
            <v>303</v>
          </cell>
          <cell r="AI29">
            <v>303</v>
          </cell>
          <cell r="AJ29">
            <v>303</v>
          </cell>
          <cell r="AK29">
            <v>303</v>
          </cell>
          <cell r="AL29">
            <v>303</v>
          </cell>
        </row>
      </sheetData>
      <sheetData sheetId="5"/>
      <sheetData sheetId="6"/>
      <sheetData sheetId="7"/>
      <sheetData sheetId="8">
        <row r="29">
          <cell r="O29">
            <v>1953.4553405686734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EED2C-3186-4334-AF68-BDDBB409FDBD}">
  <dimension ref="B3:K53"/>
  <sheetViews>
    <sheetView zoomScale="120" zoomScaleNormal="120" workbookViewId="0">
      <selection activeCell="B7" sqref="B7"/>
    </sheetView>
  </sheetViews>
  <sheetFormatPr baseColWidth="10" defaultRowHeight="15"/>
  <cols>
    <col min="2" max="2" width="45.42578125" bestFit="1" customWidth="1"/>
    <col min="3" max="3" width="14.7109375" customWidth="1"/>
    <col min="4" max="4" width="17.7109375" customWidth="1"/>
    <col min="5" max="5" width="19.85546875" bestFit="1" customWidth="1"/>
    <col min="6" max="6" width="15.85546875" bestFit="1" customWidth="1"/>
    <col min="7" max="7" width="18.42578125" bestFit="1" customWidth="1"/>
    <col min="241" max="241" width="40.140625" customWidth="1"/>
    <col min="497" max="497" width="40.140625" customWidth="1"/>
    <col min="753" max="753" width="40.140625" customWidth="1"/>
    <col min="1009" max="1009" width="40.140625" customWidth="1"/>
    <col min="1265" max="1265" width="40.140625" customWidth="1"/>
    <col min="1521" max="1521" width="40.140625" customWidth="1"/>
    <col min="1777" max="1777" width="40.140625" customWidth="1"/>
    <col min="2033" max="2033" width="40.140625" customWidth="1"/>
    <col min="2289" max="2289" width="40.140625" customWidth="1"/>
    <col min="2545" max="2545" width="40.140625" customWidth="1"/>
    <col min="2801" max="2801" width="40.140625" customWidth="1"/>
    <col min="3057" max="3057" width="40.140625" customWidth="1"/>
    <col min="3313" max="3313" width="40.140625" customWidth="1"/>
    <col min="3569" max="3569" width="40.140625" customWidth="1"/>
    <col min="3825" max="3825" width="40.140625" customWidth="1"/>
    <col min="4081" max="4081" width="40.140625" customWidth="1"/>
    <col min="4337" max="4337" width="40.140625" customWidth="1"/>
    <col min="4593" max="4593" width="40.140625" customWidth="1"/>
    <col min="4849" max="4849" width="40.140625" customWidth="1"/>
    <col min="5105" max="5105" width="40.140625" customWidth="1"/>
    <col min="5361" max="5361" width="40.140625" customWidth="1"/>
    <col min="5617" max="5617" width="40.140625" customWidth="1"/>
    <col min="5873" max="5873" width="40.140625" customWidth="1"/>
    <col min="6129" max="6129" width="40.140625" customWidth="1"/>
    <col min="6385" max="6385" width="40.140625" customWidth="1"/>
    <col min="6641" max="6641" width="40.140625" customWidth="1"/>
    <col min="6897" max="6897" width="40.140625" customWidth="1"/>
    <col min="7153" max="7153" width="40.140625" customWidth="1"/>
    <col min="7409" max="7409" width="40.140625" customWidth="1"/>
    <col min="7665" max="7665" width="40.140625" customWidth="1"/>
    <col min="7921" max="7921" width="40.140625" customWidth="1"/>
    <col min="8177" max="8177" width="40.140625" customWidth="1"/>
    <col min="8433" max="8433" width="40.140625" customWidth="1"/>
    <col min="8689" max="8689" width="40.140625" customWidth="1"/>
    <col min="8945" max="8945" width="40.140625" customWidth="1"/>
    <col min="9201" max="9201" width="40.140625" customWidth="1"/>
    <col min="9457" max="9457" width="40.140625" customWidth="1"/>
    <col min="9713" max="9713" width="40.140625" customWidth="1"/>
    <col min="9969" max="9969" width="40.140625" customWidth="1"/>
    <col min="10225" max="10225" width="40.140625" customWidth="1"/>
    <col min="10481" max="10481" width="40.140625" customWidth="1"/>
    <col min="10737" max="10737" width="40.140625" customWidth="1"/>
    <col min="10993" max="10993" width="40.140625" customWidth="1"/>
    <col min="11249" max="11249" width="40.140625" customWidth="1"/>
    <col min="11505" max="11505" width="40.140625" customWidth="1"/>
    <col min="11761" max="11761" width="40.140625" customWidth="1"/>
    <col min="12017" max="12017" width="40.140625" customWidth="1"/>
    <col min="12273" max="12273" width="40.140625" customWidth="1"/>
    <col min="12529" max="12529" width="40.140625" customWidth="1"/>
    <col min="12785" max="12785" width="40.140625" customWidth="1"/>
    <col min="13041" max="13041" width="40.140625" customWidth="1"/>
    <col min="13297" max="13297" width="40.140625" customWidth="1"/>
    <col min="13553" max="13553" width="40.140625" customWidth="1"/>
    <col min="13809" max="13809" width="40.140625" customWidth="1"/>
    <col min="14065" max="14065" width="40.140625" customWidth="1"/>
    <col min="14321" max="14321" width="40.140625" customWidth="1"/>
    <col min="14577" max="14577" width="40.140625" customWidth="1"/>
    <col min="14833" max="14833" width="40.140625" customWidth="1"/>
    <col min="15089" max="15089" width="40.140625" customWidth="1"/>
    <col min="15345" max="15345" width="40.140625" customWidth="1"/>
    <col min="15601" max="15601" width="40.140625" customWidth="1"/>
    <col min="15857" max="15857" width="40.140625" customWidth="1"/>
    <col min="16113" max="16113" width="40.140625" customWidth="1"/>
  </cols>
  <sheetData>
    <row r="3" spans="2:7" ht="65.25" customHeight="1"/>
    <row r="6" spans="2:7">
      <c r="B6" s="174" t="s">
        <v>109</v>
      </c>
      <c r="C6" s="175"/>
      <c r="D6" s="176"/>
    </row>
    <row r="7" spans="2:7">
      <c r="B7" s="172" t="s">
        <v>6</v>
      </c>
      <c r="C7" s="172" t="s">
        <v>7</v>
      </c>
      <c r="D7" s="172" t="s">
        <v>8</v>
      </c>
      <c r="E7" s="172" t="s">
        <v>161</v>
      </c>
      <c r="F7" s="173" t="s">
        <v>163</v>
      </c>
      <c r="G7" s="173" t="s">
        <v>162</v>
      </c>
    </row>
    <row r="8" spans="2:7">
      <c r="B8" s="54" t="s">
        <v>110</v>
      </c>
      <c r="C8" s="83">
        <f>SUM(C9:C14)</f>
        <v>15100</v>
      </c>
      <c r="D8" s="122">
        <f>C8/C27</f>
        <v>0.48033963511365441</v>
      </c>
      <c r="E8" s="57"/>
      <c r="F8" s="57">
        <f t="shared" ref="F8:G8" si="0">SUM(F9:F14)</f>
        <v>2053</v>
      </c>
      <c r="G8" s="57">
        <f t="shared" si="0"/>
        <v>171.08333333333331</v>
      </c>
    </row>
    <row r="9" spans="2:7">
      <c r="B9" s="55" t="s">
        <v>93</v>
      </c>
      <c r="C9" s="84">
        <v>0</v>
      </c>
      <c r="D9" s="123">
        <f>C9/$C$27</f>
        <v>0</v>
      </c>
      <c r="E9" s="58">
        <v>0.02</v>
      </c>
      <c r="F9" s="81">
        <f>C9*E9</f>
        <v>0</v>
      </c>
      <c r="G9" s="81">
        <f>F9/12</f>
        <v>0</v>
      </c>
    </row>
    <row r="10" spans="2:7">
      <c r="B10" s="55" t="s">
        <v>9</v>
      </c>
      <c r="C10" s="84">
        <v>2200</v>
      </c>
      <c r="D10" s="123">
        <f t="shared" ref="D10:D14" si="1">C10/$C$27</f>
        <v>6.9983258096029122E-2</v>
      </c>
      <c r="E10" s="58">
        <v>0.1</v>
      </c>
      <c r="F10" s="81">
        <f t="shared" ref="F10:F14" si="2">C10*E10</f>
        <v>220</v>
      </c>
      <c r="G10" s="81">
        <f t="shared" ref="G10:G14" si="3">F10/12</f>
        <v>18.333333333333332</v>
      </c>
    </row>
    <row r="11" spans="2:7">
      <c r="B11" s="55" t="s">
        <v>10</v>
      </c>
      <c r="C11" s="84">
        <v>0</v>
      </c>
      <c r="D11" s="123">
        <f t="shared" si="1"/>
        <v>0</v>
      </c>
      <c r="E11" s="58">
        <v>0.16</v>
      </c>
      <c r="F11" s="81">
        <f t="shared" si="2"/>
        <v>0</v>
      </c>
      <c r="G11" s="81">
        <f t="shared" si="3"/>
        <v>0</v>
      </c>
    </row>
    <row r="12" spans="2:7">
      <c r="B12" s="55" t="s">
        <v>111</v>
      </c>
      <c r="C12" s="84">
        <v>900</v>
      </c>
      <c r="D12" s="123">
        <f t="shared" si="1"/>
        <v>2.8629514675648275E-2</v>
      </c>
      <c r="E12" s="58">
        <v>0.12</v>
      </c>
      <c r="F12" s="81">
        <f t="shared" si="2"/>
        <v>108</v>
      </c>
      <c r="G12" s="81">
        <f t="shared" si="3"/>
        <v>9</v>
      </c>
    </row>
    <row r="13" spans="2:7">
      <c r="B13" s="55" t="s">
        <v>112</v>
      </c>
      <c r="C13" s="84">
        <v>8500</v>
      </c>
      <c r="D13" s="123">
        <f t="shared" si="1"/>
        <v>0.27038986082556704</v>
      </c>
      <c r="E13" s="58">
        <v>0.1</v>
      </c>
      <c r="F13" s="81">
        <f t="shared" si="2"/>
        <v>850</v>
      </c>
      <c r="G13" s="81">
        <f t="shared" si="3"/>
        <v>70.833333333333329</v>
      </c>
    </row>
    <row r="14" spans="2:7">
      <c r="B14" s="55" t="s">
        <v>196</v>
      </c>
      <c r="C14" s="84">
        <v>3500</v>
      </c>
      <c r="D14" s="123">
        <f t="shared" si="1"/>
        <v>0.11133700151640996</v>
      </c>
      <c r="E14" s="58">
        <v>0.25</v>
      </c>
      <c r="F14" s="81">
        <f t="shared" si="2"/>
        <v>875</v>
      </c>
      <c r="G14" s="81">
        <f t="shared" si="3"/>
        <v>72.916666666666671</v>
      </c>
    </row>
    <row r="15" spans="2:7">
      <c r="B15" s="54" t="s">
        <v>113</v>
      </c>
      <c r="C15" s="85">
        <f>SUM(C16:C22)</f>
        <v>10850</v>
      </c>
      <c r="D15" s="122">
        <f>C15/C27</f>
        <v>0.34514470470087089</v>
      </c>
    </row>
    <row r="16" spans="2:7">
      <c r="B16" s="55" t="s">
        <v>11</v>
      </c>
      <c r="C16" s="84">
        <v>0</v>
      </c>
      <c r="D16" s="123">
        <f t="shared" ref="D16:D22" si="4">C16/$C$27</f>
        <v>0</v>
      </c>
    </row>
    <row r="17" spans="2:11">
      <c r="B17" s="55" t="s">
        <v>12</v>
      </c>
      <c r="C17" s="84">
        <v>650</v>
      </c>
      <c r="D17" s="123">
        <f t="shared" si="4"/>
        <v>2.067687171019042E-2</v>
      </c>
    </row>
    <row r="18" spans="2:11">
      <c r="B18" s="55" t="s">
        <v>13</v>
      </c>
      <c r="C18" s="84"/>
      <c r="D18" s="123">
        <f t="shared" si="4"/>
        <v>0</v>
      </c>
      <c r="K18" s="67"/>
    </row>
    <row r="19" spans="2:11">
      <c r="B19" s="55" t="s">
        <v>14</v>
      </c>
      <c r="C19" s="84">
        <v>1200</v>
      </c>
      <c r="D19" s="123">
        <f t="shared" si="4"/>
        <v>3.81726862341977E-2</v>
      </c>
      <c r="K19" s="67"/>
    </row>
    <row r="20" spans="2:11">
      <c r="B20" s="55" t="s">
        <v>213</v>
      </c>
      <c r="C20" s="121">
        <v>0</v>
      </c>
      <c r="D20" s="123">
        <f t="shared" si="4"/>
        <v>0</v>
      </c>
      <c r="K20" s="67"/>
    </row>
    <row r="21" spans="2:11">
      <c r="B21" s="55" t="s">
        <v>67</v>
      </c>
      <c r="C21" s="84">
        <v>9000</v>
      </c>
      <c r="D21" s="123">
        <f t="shared" si="4"/>
        <v>0.28629514675648277</v>
      </c>
      <c r="K21" s="67"/>
    </row>
    <row r="22" spans="2:11">
      <c r="B22" s="55" t="s">
        <v>5</v>
      </c>
      <c r="C22" s="84">
        <v>0</v>
      </c>
      <c r="D22" s="123">
        <f t="shared" si="4"/>
        <v>0</v>
      </c>
      <c r="K22" s="67"/>
    </row>
    <row r="23" spans="2:11">
      <c r="B23" s="56" t="s">
        <v>114</v>
      </c>
      <c r="C23" s="86">
        <f>SUM(C24:C26)</f>
        <v>5486.09</v>
      </c>
      <c r="D23" s="122">
        <f>C23/C27</f>
        <v>0.17451566018547474</v>
      </c>
      <c r="K23" s="67"/>
    </row>
    <row r="24" spans="2:11">
      <c r="B24" s="55" t="s">
        <v>2</v>
      </c>
      <c r="C24" s="84">
        <v>5486.09</v>
      </c>
      <c r="D24" s="123">
        <f>C24/$C$27</f>
        <v>0.17451566018547474</v>
      </c>
      <c r="K24" s="67"/>
    </row>
    <row r="25" spans="2:11">
      <c r="B25" s="55" t="s">
        <v>236</v>
      </c>
      <c r="C25" s="84">
        <v>0</v>
      </c>
      <c r="D25" s="123">
        <f t="shared" ref="D25:D26" si="5">C25/$C$27</f>
        <v>0</v>
      </c>
      <c r="K25" s="67"/>
    </row>
    <row r="26" spans="2:11">
      <c r="B26" s="55" t="s">
        <v>115</v>
      </c>
      <c r="C26" s="84">
        <v>0</v>
      </c>
      <c r="D26" s="123">
        <f t="shared" si="5"/>
        <v>0</v>
      </c>
      <c r="K26" s="67"/>
    </row>
    <row r="27" spans="2:11">
      <c r="B27" s="54" t="s">
        <v>15</v>
      </c>
      <c r="C27" s="87">
        <f>C23+C15+C8</f>
        <v>31436.09</v>
      </c>
      <c r="D27" s="124">
        <v>1</v>
      </c>
      <c r="K27" s="67"/>
    </row>
    <row r="30" spans="2:11">
      <c r="B30" s="177" t="s">
        <v>198</v>
      </c>
      <c r="C30" s="178"/>
      <c r="D30" s="179"/>
    </row>
    <row r="31" spans="2:11">
      <c r="B31" s="53" t="s">
        <v>6</v>
      </c>
      <c r="C31" s="53" t="s">
        <v>193</v>
      </c>
      <c r="D31" s="53" t="s">
        <v>194</v>
      </c>
    </row>
    <row r="32" spans="2:11">
      <c r="B32" s="94" t="s">
        <v>48</v>
      </c>
      <c r="C32" s="98">
        <f>C33+C34</f>
        <v>4800</v>
      </c>
      <c r="D32" s="98">
        <f>D33+D34</f>
        <v>400</v>
      </c>
    </row>
    <row r="33" spans="2:4">
      <c r="B33" s="96" t="s">
        <v>36</v>
      </c>
      <c r="C33" s="99">
        <f t="shared" ref="C33:C37" si="6">D33*12</f>
        <v>0</v>
      </c>
      <c r="D33" s="99">
        <v>0</v>
      </c>
    </row>
    <row r="34" spans="2:4">
      <c r="B34" s="96" t="s">
        <v>240</v>
      </c>
      <c r="C34" s="99">
        <f t="shared" si="6"/>
        <v>4800</v>
      </c>
      <c r="D34" s="99">
        <v>400</v>
      </c>
    </row>
    <row r="35" spans="2:4">
      <c r="B35" s="94" t="s">
        <v>37</v>
      </c>
      <c r="C35" s="98">
        <f>SUM(C36:C37)</f>
        <v>1080</v>
      </c>
      <c r="D35" s="98">
        <f>SUM(D36:D37)</f>
        <v>90</v>
      </c>
    </row>
    <row r="36" spans="2:4">
      <c r="B36" s="95" t="s">
        <v>183</v>
      </c>
      <c r="C36" s="99">
        <f t="shared" si="6"/>
        <v>360</v>
      </c>
      <c r="D36" s="99">
        <v>30</v>
      </c>
    </row>
    <row r="37" spans="2:4">
      <c r="B37" s="95" t="s">
        <v>184</v>
      </c>
      <c r="C37" s="99">
        <f t="shared" si="6"/>
        <v>720</v>
      </c>
      <c r="D37" s="99">
        <v>60</v>
      </c>
    </row>
    <row r="38" spans="2:4">
      <c r="B38" s="94" t="s">
        <v>38</v>
      </c>
      <c r="C38" s="98">
        <f>SUM(C39:C44)</f>
        <v>9360</v>
      </c>
      <c r="D38" s="98">
        <f>SUM(D39:D44)</f>
        <v>780</v>
      </c>
    </row>
    <row r="39" spans="2:4">
      <c r="B39" s="96" t="s">
        <v>185</v>
      </c>
      <c r="C39" s="99">
        <f t="shared" ref="C39:C44" si="7">D39*12</f>
        <v>0</v>
      </c>
      <c r="D39" s="99">
        <v>0</v>
      </c>
    </row>
    <row r="40" spans="2:4">
      <c r="B40" s="96" t="s">
        <v>188</v>
      </c>
      <c r="C40" s="99">
        <f t="shared" si="7"/>
        <v>1200</v>
      </c>
      <c r="D40" s="99">
        <v>100</v>
      </c>
    </row>
    <row r="41" spans="2:4">
      <c r="B41" s="96" t="s">
        <v>174</v>
      </c>
      <c r="C41" s="99">
        <f t="shared" si="7"/>
        <v>600</v>
      </c>
      <c r="D41" s="99">
        <v>50</v>
      </c>
    </row>
    <row r="42" spans="2:4">
      <c r="B42" s="96" t="s">
        <v>189</v>
      </c>
      <c r="C42" s="99">
        <f t="shared" si="7"/>
        <v>3000</v>
      </c>
      <c r="D42" s="99">
        <v>250</v>
      </c>
    </row>
    <row r="43" spans="2:4">
      <c r="B43" s="96" t="s">
        <v>191</v>
      </c>
      <c r="C43" s="99">
        <f t="shared" si="7"/>
        <v>1440</v>
      </c>
      <c r="D43" s="99">
        <v>120</v>
      </c>
    </row>
    <row r="44" spans="2:4">
      <c r="B44" s="96" t="s">
        <v>197</v>
      </c>
      <c r="C44" s="99">
        <f t="shared" si="7"/>
        <v>3120</v>
      </c>
      <c r="D44" s="99">
        <v>260</v>
      </c>
    </row>
    <row r="45" spans="2:4">
      <c r="B45" s="94" t="s">
        <v>195</v>
      </c>
      <c r="C45" s="98">
        <f>SUM(C46:C50)</f>
        <v>4080</v>
      </c>
      <c r="D45" s="98">
        <f>SUM(D46:D50)</f>
        <v>340</v>
      </c>
    </row>
    <row r="46" spans="2:4">
      <c r="B46" s="96" t="s">
        <v>187</v>
      </c>
      <c r="C46" s="99">
        <f>D46*12</f>
        <v>300</v>
      </c>
      <c r="D46" s="99">
        <v>25</v>
      </c>
    </row>
    <row r="47" spans="2:4">
      <c r="B47" s="96" t="s">
        <v>186</v>
      </c>
      <c r="C47" s="99">
        <f t="shared" ref="C47:C50" si="8">D47*12</f>
        <v>0</v>
      </c>
      <c r="D47" s="99">
        <v>0</v>
      </c>
    </row>
    <row r="48" spans="2:4">
      <c r="B48" s="96" t="s">
        <v>190</v>
      </c>
      <c r="C48" s="99">
        <f t="shared" si="8"/>
        <v>1800</v>
      </c>
      <c r="D48" s="99">
        <v>150</v>
      </c>
    </row>
    <row r="49" spans="2:4">
      <c r="B49" s="96" t="s">
        <v>192</v>
      </c>
      <c r="C49" s="99">
        <f t="shared" si="8"/>
        <v>600</v>
      </c>
      <c r="D49" s="99">
        <v>50</v>
      </c>
    </row>
    <row r="50" spans="2:4">
      <c r="B50" s="96" t="s">
        <v>199</v>
      </c>
      <c r="C50" s="99">
        <f t="shared" si="8"/>
        <v>1380</v>
      </c>
      <c r="D50" s="99">
        <v>115</v>
      </c>
    </row>
    <row r="51" spans="2:4">
      <c r="B51" s="94" t="s">
        <v>158</v>
      </c>
      <c r="C51" s="98">
        <f>C52</f>
        <v>600</v>
      </c>
      <c r="D51" s="98">
        <f>D52</f>
        <v>50</v>
      </c>
    </row>
    <row r="52" spans="2:4">
      <c r="B52" s="97" t="s">
        <v>214</v>
      </c>
      <c r="C52" s="99">
        <f>D52*12</f>
        <v>600</v>
      </c>
      <c r="D52" s="99">
        <v>50</v>
      </c>
    </row>
    <row r="53" spans="2:4">
      <c r="B53" s="54" t="s">
        <v>15</v>
      </c>
      <c r="C53" s="87">
        <f>C32+C35+C38+C45+C51</f>
        <v>19920</v>
      </c>
      <c r="D53" s="87">
        <f>D32+D35+D38+D45+D51</f>
        <v>1660</v>
      </c>
    </row>
  </sheetData>
  <mergeCells count="2">
    <mergeCell ref="B6:D6"/>
    <mergeCell ref="B30:D30"/>
  </mergeCells>
  <phoneticPr fontId="2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53F58-2A13-4BD5-AFB3-B957737BD97B}">
  <dimension ref="B3:D30"/>
  <sheetViews>
    <sheetView workbookViewId="0">
      <selection activeCell="B8" sqref="B8:D8"/>
    </sheetView>
  </sheetViews>
  <sheetFormatPr baseColWidth="10" defaultRowHeight="15"/>
  <cols>
    <col min="2" max="2" width="35.7109375" bestFit="1" customWidth="1"/>
  </cols>
  <sheetData>
    <row r="3" spans="2:4" ht="13.5" customHeight="1"/>
    <row r="4" spans="2:4" hidden="1"/>
    <row r="8" spans="2:4">
      <c r="B8" s="174" t="s">
        <v>126</v>
      </c>
      <c r="C8" s="175"/>
      <c r="D8" s="176"/>
    </row>
    <row r="9" spans="2:4">
      <c r="B9" s="172" t="s">
        <v>6</v>
      </c>
      <c r="C9" s="172" t="s">
        <v>7</v>
      </c>
      <c r="D9" s="172" t="s">
        <v>8</v>
      </c>
    </row>
    <row r="10" spans="2:4">
      <c r="B10" s="63" t="s">
        <v>127</v>
      </c>
      <c r="C10" s="125">
        <f>C16-C12</f>
        <v>1436.0900000000001</v>
      </c>
      <c r="D10" s="88">
        <f>C10/$C$16</f>
        <v>4.5682844145057487E-2</v>
      </c>
    </row>
    <row r="11" spans="2:4">
      <c r="B11" s="63" t="s">
        <v>128</v>
      </c>
      <c r="C11" s="125">
        <v>0</v>
      </c>
      <c r="D11" s="88">
        <f t="shared" ref="D11:D15" si="0">C11/$C$16</f>
        <v>0</v>
      </c>
    </row>
    <row r="12" spans="2:4">
      <c r="B12" s="63" t="s">
        <v>129</v>
      </c>
      <c r="C12" s="125">
        <f>C22</f>
        <v>30000</v>
      </c>
      <c r="D12" s="88">
        <f t="shared" si="0"/>
        <v>0.95431715585494248</v>
      </c>
    </row>
    <row r="13" spans="2:4">
      <c r="B13" s="63" t="s">
        <v>130</v>
      </c>
      <c r="C13" s="125">
        <v>0</v>
      </c>
      <c r="D13" s="88">
        <f t="shared" si="0"/>
        <v>0</v>
      </c>
    </row>
    <row r="14" spans="2:4">
      <c r="B14" s="63" t="s">
        <v>131</v>
      </c>
      <c r="C14" s="125">
        <v>0</v>
      </c>
      <c r="D14" s="88">
        <f t="shared" si="0"/>
        <v>0</v>
      </c>
    </row>
    <row r="15" spans="2:4">
      <c r="B15" s="63" t="s">
        <v>123</v>
      </c>
      <c r="C15" s="125">
        <v>0</v>
      </c>
      <c r="D15" s="88">
        <f t="shared" si="0"/>
        <v>0</v>
      </c>
    </row>
    <row r="16" spans="2:4">
      <c r="B16" s="51" t="s">
        <v>15</v>
      </c>
      <c r="C16" s="126">
        <f>'Introducción de datos'!C27</f>
        <v>31436.09</v>
      </c>
      <c r="D16" s="89">
        <f>C16/$C$16</f>
        <v>1</v>
      </c>
    </row>
    <row r="17" spans="2:3">
      <c r="C17" s="127"/>
    </row>
    <row r="18" spans="2:3">
      <c r="C18" s="127"/>
    </row>
    <row r="19" spans="2:3">
      <c r="C19" s="127"/>
    </row>
    <row r="20" spans="2:3">
      <c r="B20" s="172" t="s">
        <v>119</v>
      </c>
      <c r="C20" s="172" t="s">
        <v>120</v>
      </c>
    </row>
    <row r="21" spans="2:3">
      <c r="B21" s="63" t="s">
        <v>121</v>
      </c>
      <c r="C21" s="125">
        <f>C10+C11</f>
        <v>1436.0900000000001</v>
      </c>
    </row>
    <row r="22" spans="2:3">
      <c r="B22" s="63" t="s">
        <v>122</v>
      </c>
      <c r="C22" s="125">
        <v>30000</v>
      </c>
    </row>
    <row r="23" spans="2:3">
      <c r="B23" s="63" t="s">
        <v>123</v>
      </c>
      <c r="C23" s="125">
        <f>C13+C14+C15</f>
        <v>0</v>
      </c>
    </row>
    <row r="24" spans="2:3">
      <c r="B24" s="128" t="s">
        <v>15</v>
      </c>
      <c r="C24" s="129">
        <f>C16</f>
        <v>31436.09</v>
      </c>
    </row>
    <row r="25" spans="2:3">
      <c r="B25" s="145" t="s">
        <v>124</v>
      </c>
      <c r="C25" s="146"/>
    </row>
    <row r="26" spans="2:3">
      <c r="B26" s="147" t="s">
        <v>125</v>
      </c>
      <c r="C26" s="148">
        <f>C22</f>
        <v>30000</v>
      </c>
    </row>
    <row r="27" spans="2:3">
      <c r="B27" s="147" t="s">
        <v>170</v>
      </c>
      <c r="C27" s="149">
        <f>6*12</f>
        <v>72</v>
      </c>
    </row>
    <row r="28" spans="2:3">
      <c r="B28" s="150" t="s">
        <v>169</v>
      </c>
      <c r="C28" s="151">
        <v>6</v>
      </c>
    </row>
    <row r="30" spans="2:3">
      <c r="B30" s="68" t="s">
        <v>181</v>
      </c>
      <c r="C30" s="91">
        <v>46266</v>
      </c>
    </row>
  </sheetData>
  <mergeCells count="1">
    <mergeCell ref="B8:D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74AA-B685-4BC5-B73A-6293A4D6C78B}">
  <dimension ref="A7:K86"/>
  <sheetViews>
    <sheetView workbookViewId="0">
      <selection activeCell="A8" sqref="A8:C8"/>
    </sheetView>
  </sheetViews>
  <sheetFormatPr baseColWidth="10" defaultRowHeight="15"/>
  <cols>
    <col min="1" max="2" width="12.28515625" customWidth="1"/>
    <col min="3" max="3" width="12.140625" bestFit="1" customWidth="1"/>
    <col min="4" max="7" width="12.28515625" customWidth="1"/>
    <col min="8" max="8" width="15.7109375" bestFit="1" customWidth="1"/>
    <col min="9" max="984" width="12.28515625" customWidth="1"/>
    <col min="985" max="985" width="12.42578125" customWidth="1"/>
  </cols>
  <sheetData>
    <row r="7" spans="1:11" ht="15.75" thickBot="1"/>
    <row r="8" spans="1:11" s="23" customFormat="1" ht="20.100000000000001" customHeight="1" thickBot="1">
      <c r="A8" s="204" t="s">
        <v>94</v>
      </c>
      <c r="B8" s="205"/>
      <c r="C8" s="206"/>
      <c r="D8" s="75" t="s">
        <v>167</v>
      </c>
      <c r="E8" s="76">
        <f>'Fuentes de financiación'!C30</f>
        <v>46266</v>
      </c>
      <c r="F8" s="75" t="s">
        <v>182</v>
      </c>
      <c r="G8" s="93">
        <f>G9*12</f>
        <v>72</v>
      </c>
      <c r="H8" s="73"/>
      <c r="I8" s="74"/>
      <c r="K8" s="70"/>
    </row>
    <row r="9" spans="1:11" s="23" customFormat="1" ht="15.6" customHeight="1">
      <c r="A9" s="24" t="s">
        <v>95</v>
      </c>
      <c r="B9" s="69"/>
      <c r="C9" s="25">
        <f>'Fuentes de financiación'!C26</f>
        <v>30000</v>
      </c>
      <c r="D9" s="24" t="s">
        <v>96</v>
      </c>
      <c r="E9" s="26">
        <v>6.9000000000000006E-2</v>
      </c>
      <c r="F9" s="24" t="s">
        <v>97</v>
      </c>
      <c r="G9" s="27">
        <v>6</v>
      </c>
      <c r="H9" s="24" t="s">
        <v>164</v>
      </c>
      <c r="I9" s="27">
        <v>6</v>
      </c>
    </row>
    <row r="10" spans="1:11" ht="14.25" customHeight="1">
      <c r="A10" s="28"/>
      <c r="B10" s="28"/>
      <c r="C10" s="29"/>
      <c r="D10" s="29"/>
      <c r="E10" s="30"/>
      <c r="F10" s="29"/>
      <c r="G10" s="30"/>
      <c r="H10" s="31">
        <f>SUM(E13:E24)</f>
        <v>2282.7618484651925</v>
      </c>
      <c r="I10" s="31">
        <f>+F13-H10</f>
        <v>27717.238151534806</v>
      </c>
    </row>
    <row r="11" spans="1:11" s="34" customFormat="1" ht="14.25" customHeight="1">
      <c r="A11" s="32" t="s">
        <v>98</v>
      </c>
      <c r="B11" s="32" t="s">
        <v>165</v>
      </c>
      <c r="C11" s="33" t="s">
        <v>99</v>
      </c>
      <c r="D11" s="33" t="s">
        <v>100</v>
      </c>
      <c r="E11" s="33" t="s">
        <v>101</v>
      </c>
      <c r="F11" s="33" t="s">
        <v>102</v>
      </c>
      <c r="G11" s="33" t="s">
        <v>103</v>
      </c>
      <c r="H11" s="33" t="s">
        <v>104</v>
      </c>
      <c r="I11" s="33" t="s">
        <v>105</v>
      </c>
    </row>
    <row r="12" spans="1:11" ht="14.25" customHeight="1">
      <c r="A12" s="36"/>
      <c r="B12" s="36"/>
      <c r="C12" s="37"/>
      <c r="D12" s="37"/>
      <c r="E12" s="37"/>
      <c r="F12" s="35">
        <f>C9</f>
        <v>30000</v>
      </c>
      <c r="G12" s="35"/>
      <c r="H12" s="71">
        <f>SUM(E13:E24)</f>
        <v>2282.7618484651925</v>
      </c>
      <c r="I12" s="35">
        <f>SUM(E25:E84)</f>
        <v>27717.238151534821</v>
      </c>
    </row>
    <row r="13" spans="1:11" ht="14.25" customHeight="1">
      <c r="A13" s="36">
        <v>1</v>
      </c>
      <c r="B13" s="72">
        <f>'Cuadro amortización crédito'!E8</f>
        <v>46266</v>
      </c>
      <c r="C13" s="38">
        <f>IF(A13&lt;=$I$9,D13,-PMT($E$9/12,$G$9*12-$I$9,$C$9,0,0))</f>
        <v>172.50000000000003</v>
      </c>
      <c r="D13" s="38">
        <f>+$E$9/12*F13</f>
        <v>172.50000000000003</v>
      </c>
      <c r="E13" s="38">
        <f>+C13-D13</f>
        <v>0</v>
      </c>
      <c r="F13" s="38">
        <f>+C9</f>
        <v>30000</v>
      </c>
      <c r="G13" s="38">
        <f>+F13-E13</f>
        <v>30000</v>
      </c>
      <c r="H13" s="71">
        <f t="shared" ref="H13:H76" si="0">SUM(E14:E25)</f>
        <v>2670.9155030832908</v>
      </c>
      <c r="I13" s="35">
        <f t="shared" ref="I13:I76" si="1">SUM(E26:E85)</f>
        <v>27329.084496916716</v>
      </c>
    </row>
    <row r="14" spans="1:11" ht="14.25" customHeight="1">
      <c r="A14" s="39">
        <v>2</v>
      </c>
      <c r="B14" s="72">
        <f>EDATE(B13,1)</f>
        <v>46296</v>
      </c>
      <c r="C14" s="38">
        <f t="shared" ref="C14:C77" si="2">IF(A14&lt;=$I$9,D14,-PMT($E$9/12,$G$9*12-$I$9,$C$9,0,0))</f>
        <v>172.50000000000003</v>
      </c>
      <c r="D14" s="38">
        <f t="shared" ref="D14:D77" si="3">+$E$9/12*F14</f>
        <v>172.50000000000003</v>
      </c>
      <c r="E14" s="38">
        <f>+C14-D14</f>
        <v>0</v>
      </c>
      <c r="F14" s="38">
        <f>+G13</f>
        <v>30000</v>
      </c>
      <c r="G14" s="38">
        <f>+F14-E14</f>
        <v>30000</v>
      </c>
      <c r="H14" s="71">
        <f t="shared" si="0"/>
        <v>3061.3010412154426</v>
      </c>
      <c r="I14" s="35">
        <f t="shared" si="1"/>
        <v>26938.698958784564</v>
      </c>
    </row>
    <row r="15" spans="1:11" ht="14.25" customHeight="1">
      <c r="A15" s="36">
        <v>3</v>
      </c>
      <c r="B15" s="72">
        <f t="shared" ref="B15:B78" si="4">EDATE(B14,1)</f>
        <v>46327</v>
      </c>
      <c r="C15" s="38">
        <f t="shared" si="2"/>
        <v>172.50000000000003</v>
      </c>
      <c r="D15" s="38">
        <f t="shared" si="3"/>
        <v>172.50000000000003</v>
      </c>
      <c r="E15" s="38">
        <f t="shared" ref="E15:E78" si="5">+C15-D15</f>
        <v>0</v>
      </c>
      <c r="F15" s="38">
        <f t="shared" ref="F15:F78" si="6">+G14</f>
        <v>30000</v>
      </c>
      <c r="G15" s="38">
        <f t="shared" ref="G15:G78" si="7">+F15-E15</f>
        <v>30000</v>
      </c>
      <c r="H15" s="71">
        <f t="shared" si="0"/>
        <v>3453.9312961918545</v>
      </c>
      <c r="I15" s="35">
        <f t="shared" si="1"/>
        <v>26546.068703808152</v>
      </c>
    </row>
    <row r="16" spans="1:11" ht="14.25" customHeight="1">
      <c r="A16" s="36">
        <v>4</v>
      </c>
      <c r="B16" s="72">
        <f t="shared" si="4"/>
        <v>46357</v>
      </c>
      <c r="C16" s="38">
        <f t="shared" si="2"/>
        <v>172.50000000000003</v>
      </c>
      <c r="D16" s="38">
        <f t="shared" si="3"/>
        <v>172.50000000000003</v>
      </c>
      <c r="E16" s="38">
        <f t="shared" si="5"/>
        <v>0</v>
      </c>
      <c r="F16" s="38">
        <f t="shared" si="6"/>
        <v>30000</v>
      </c>
      <c r="G16" s="38">
        <f t="shared" si="7"/>
        <v>30000</v>
      </c>
      <c r="H16" s="71">
        <f t="shared" si="0"/>
        <v>3848.8191751343807</v>
      </c>
      <c r="I16" s="35">
        <f t="shared" si="1"/>
        <v>26151.180824865623</v>
      </c>
    </row>
    <row r="17" spans="1:10" ht="14.25" customHeight="1">
      <c r="A17" s="39">
        <v>5</v>
      </c>
      <c r="B17" s="72">
        <f t="shared" si="4"/>
        <v>46388</v>
      </c>
      <c r="C17" s="38">
        <f t="shared" si="2"/>
        <v>172.50000000000003</v>
      </c>
      <c r="D17" s="38">
        <f t="shared" si="3"/>
        <v>172.50000000000003</v>
      </c>
      <c r="E17" s="38">
        <f t="shared" si="5"/>
        <v>0</v>
      </c>
      <c r="F17" s="38">
        <f t="shared" si="6"/>
        <v>30000</v>
      </c>
      <c r="G17" s="38">
        <f t="shared" si="7"/>
        <v>30000</v>
      </c>
      <c r="H17" s="71">
        <f t="shared" si="0"/>
        <v>4245.9776593808265</v>
      </c>
      <c r="I17" s="35">
        <f t="shared" si="1"/>
        <v>25754.02234061918</v>
      </c>
    </row>
    <row r="18" spans="1:10" ht="14.25" customHeight="1">
      <c r="A18" s="36">
        <v>6</v>
      </c>
      <c r="B18" s="72">
        <f t="shared" si="4"/>
        <v>46419</v>
      </c>
      <c r="C18" s="38">
        <f t="shared" si="2"/>
        <v>172.50000000000003</v>
      </c>
      <c r="D18" s="38">
        <f t="shared" si="3"/>
        <v>172.50000000000003</v>
      </c>
      <c r="E18" s="38">
        <f t="shared" si="5"/>
        <v>0</v>
      </c>
      <c r="F18" s="38">
        <f t="shared" si="6"/>
        <v>30000</v>
      </c>
      <c r="G18" s="38">
        <f t="shared" si="7"/>
        <v>30000</v>
      </c>
      <c r="H18" s="71">
        <f t="shared" si="0"/>
        <v>4645.4198049116894</v>
      </c>
      <c r="I18" s="35">
        <f t="shared" si="1"/>
        <v>25354.580195088318</v>
      </c>
    </row>
    <row r="19" spans="1:10" ht="14.25" customHeight="1">
      <c r="A19" s="36">
        <v>7</v>
      </c>
      <c r="B19" s="72">
        <f t="shared" si="4"/>
        <v>46447</v>
      </c>
      <c r="C19" s="38">
        <f t="shared" si="2"/>
        <v>547.52777398942317</v>
      </c>
      <c r="D19" s="38">
        <f t="shared" si="3"/>
        <v>172.50000000000003</v>
      </c>
      <c r="E19" s="38">
        <f t="shared" si="5"/>
        <v>375.02777398942317</v>
      </c>
      <c r="F19" s="38">
        <f t="shared" si="6"/>
        <v>30000</v>
      </c>
      <c r="G19" s="38">
        <f t="shared" si="7"/>
        <v>29624.972226010577</v>
      </c>
      <c r="H19" s="71">
        <f t="shared" si="0"/>
        <v>4672.1309687899311</v>
      </c>
      <c r="I19" s="35">
        <f t="shared" si="1"/>
        <v>24952.841257220651</v>
      </c>
    </row>
    <row r="20" spans="1:10" ht="14.25" customHeight="1">
      <c r="A20" s="39">
        <v>8</v>
      </c>
      <c r="B20" s="72">
        <f t="shared" si="4"/>
        <v>46478</v>
      </c>
      <c r="C20" s="38">
        <f t="shared" si="2"/>
        <v>547.52777398942317</v>
      </c>
      <c r="D20" s="38">
        <f t="shared" si="3"/>
        <v>170.34359029956084</v>
      </c>
      <c r="E20" s="38">
        <f t="shared" si="5"/>
        <v>377.18418368986232</v>
      </c>
      <c r="F20" s="38">
        <f t="shared" si="6"/>
        <v>29624.972226010577</v>
      </c>
      <c r="G20" s="38">
        <f t="shared" si="7"/>
        <v>29247.788042320713</v>
      </c>
      <c r="H20" s="71">
        <f t="shared" si="0"/>
        <v>4698.9957218604732</v>
      </c>
      <c r="I20" s="35">
        <f t="shared" si="1"/>
        <v>24548.792320460245</v>
      </c>
    </row>
    <row r="21" spans="1:10" ht="14.25" customHeight="1">
      <c r="A21" s="36">
        <v>9</v>
      </c>
      <c r="B21" s="72">
        <f t="shared" si="4"/>
        <v>46508</v>
      </c>
      <c r="C21" s="38">
        <f t="shared" si="2"/>
        <v>547.52777398942317</v>
      </c>
      <c r="D21" s="38">
        <f t="shared" si="3"/>
        <v>168.17478124334411</v>
      </c>
      <c r="E21" s="38">
        <f t="shared" si="5"/>
        <v>379.35299274607905</v>
      </c>
      <c r="F21" s="38">
        <f t="shared" si="6"/>
        <v>29247.788042320713</v>
      </c>
      <c r="G21" s="38">
        <f t="shared" si="7"/>
        <v>28868.435049574633</v>
      </c>
      <c r="H21" s="71">
        <f t="shared" si="0"/>
        <v>4726.0149472611711</v>
      </c>
      <c r="I21" s="35">
        <f t="shared" si="1"/>
        <v>24142.42010231347</v>
      </c>
    </row>
    <row r="22" spans="1:10" ht="14.25" customHeight="1">
      <c r="A22" s="36">
        <v>10</v>
      </c>
      <c r="B22" s="72">
        <f t="shared" si="4"/>
        <v>46539</v>
      </c>
      <c r="C22" s="38">
        <f t="shared" si="2"/>
        <v>547.52777398942317</v>
      </c>
      <c r="D22" s="38">
        <f t="shared" si="3"/>
        <v>165.99350153505415</v>
      </c>
      <c r="E22" s="38">
        <f t="shared" si="5"/>
        <v>381.53427245436899</v>
      </c>
      <c r="F22" s="38">
        <f t="shared" si="6"/>
        <v>28868.435049574633</v>
      </c>
      <c r="G22" s="38">
        <f t="shared" si="7"/>
        <v>28486.900777120263</v>
      </c>
      <c r="H22" s="71">
        <f t="shared" si="0"/>
        <v>4753.189533207923</v>
      </c>
      <c r="I22" s="35">
        <f t="shared" si="1"/>
        <v>23733.711243912348</v>
      </c>
    </row>
    <row r="23" spans="1:10" ht="14.25" customHeight="1">
      <c r="A23" s="39">
        <v>11</v>
      </c>
      <c r="B23" s="72">
        <f t="shared" si="4"/>
        <v>46569</v>
      </c>
      <c r="C23" s="38">
        <f t="shared" si="2"/>
        <v>547.52777398942317</v>
      </c>
      <c r="D23" s="38">
        <f t="shared" si="3"/>
        <v>163.79967946844152</v>
      </c>
      <c r="E23" s="38">
        <f t="shared" si="5"/>
        <v>383.72809452098164</v>
      </c>
      <c r="F23" s="38">
        <f t="shared" si="6"/>
        <v>28486.900777120263</v>
      </c>
      <c r="G23" s="38">
        <f t="shared" si="7"/>
        <v>28103.172682599281</v>
      </c>
      <c r="H23" s="71">
        <f t="shared" si="0"/>
        <v>4780.5203730238691</v>
      </c>
      <c r="I23" s="35">
        <f t="shared" si="1"/>
        <v>23322.65230957542</v>
      </c>
      <c r="J23" s="40"/>
    </row>
    <row r="24" spans="1:10" ht="14.25" customHeight="1">
      <c r="A24" s="36">
        <v>12</v>
      </c>
      <c r="B24" s="72">
        <f t="shared" si="4"/>
        <v>46600</v>
      </c>
      <c r="C24" s="38">
        <f t="shared" si="2"/>
        <v>547.52777398942317</v>
      </c>
      <c r="D24" s="38">
        <f t="shared" si="3"/>
        <v>161.59324292494588</v>
      </c>
      <c r="E24" s="38">
        <f t="shared" si="5"/>
        <v>385.93453106447726</v>
      </c>
      <c r="F24" s="38">
        <f t="shared" si="6"/>
        <v>28103.172682599281</v>
      </c>
      <c r="G24" s="38">
        <f t="shared" si="7"/>
        <v>27717.238151534802</v>
      </c>
      <c r="H24" s="71">
        <f t="shared" si="0"/>
        <v>4808.0083651687564</v>
      </c>
      <c r="I24" s="35">
        <f t="shared" si="1"/>
        <v>22909.229786366053</v>
      </c>
      <c r="J24" s="41"/>
    </row>
    <row r="25" spans="1:10" ht="14.25" customHeight="1">
      <c r="A25" s="36">
        <v>13</v>
      </c>
      <c r="B25" s="72">
        <f t="shared" si="4"/>
        <v>46631</v>
      </c>
      <c r="C25" s="38">
        <f t="shared" si="2"/>
        <v>547.52777398942317</v>
      </c>
      <c r="D25" s="38">
        <f t="shared" si="3"/>
        <v>159.37411937132512</v>
      </c>
      <c r="E25" s="38">
        <f t="shared" si="5"/>
        <v>388.15365461809802</v>
      </c>
      <c r="F25" s="38">
        <f t="shared" si="6"/>
        <v>27717.238151534802</v>
      </c>
      <c r="G25" s="38">
        <f t="shared" si="7"/>
        <v>27329.084496916705</v>
      </c>
      <c r="H25" s="71">
        <f t="shared" si="0"/>
        <v>4835.6544132684767</v>
      </c>
      <c r="I25" s="35">
        <f t="shared" si="1"/>
        <v>22493.430083648236</v>
      </c>
    </row>
    <row r="26" spans="1:10" ht="14.25" customHeight="1">
      <c r="A26" s="39">
        <v>14</v>
      </c>
      <c r="B26" s="72">
        <f t="shared" si="4"/>
        <v>46661</v>
      </c>
      <c r="C26" s="38">
        <f t="shared" si="2"/>
        <v>547.52777398942317</v>
      </c>
      <c r="D26" s="38">
        <f t="shared" si="3"/>
        <v>157.14223585727106</v>
      </c>
      <c r="E26" s="38">
        <f t="shared" si="5"/>
        <v>390.38553813215208</v>
      </c>
      <c r="F26" s="38">
        <f t="shared" si="6"/>
        <v>27329.084496916705</v>
      </c>
      <c r="G26" s="38">
        <f t="shared" si="7"/>
        <v>26938.698958784553</v>
      </c>
      <c r="H26" s="71">
        <f t="shared" si="0"/>
        <v>4863.459426144771</v>
      </c>
      <c r="I26" s="35">
        <f t="shared" si="1"/>
        <v>22075.239532639789</v>
      </c>
    </row>
    <row r="27" spans="1:10" ht="14.25" customHeight="1">
      <c r="A27" s="36">
        <v>15</v>
      </c>
      <c r="B27" s="72">
        <f t="shared" si="4"/>
        <v>46692</v>
      </c>
      <c r="C27" s="38">
        <f t="shared" si="2"/>
        <v>547.52777398942317</v>
      </c>
      <c r="D27" s="38">
        <f t="shared" si="3"/>
        <v>154.89751901301119</v>
      </c>
      <c r="E27" s="38">
        <f t="shared" si="5"/>
        <v>392.63025497641195</v>
      </c>
      <c r="F27" s="38">
        <f t="shared" si="6"/>
        <v>26938.698958784553</v>
      </c>
      <c r="G27" s="38">
        <f t="shared" si="7"/>
        <v>26546.068703808141</v>
      </c>
      <c r="H27" s="71">
        <f t="shared" si="0"/>
        <v>4891.4243178451034</v>
      </c>
      <c r="I27" s="35">
        <f t="shared" si="1"/>
        <v>21654.644385963045</v>
      </c>
    </row>
    <row r="28" spans="1:10" ht="14.25" customHeight="1">
      <c r="A28" s="36">
        <v>16</v>
      </c>
      <c r="B28" s="72">
        <f t="shared" si="4"/>
        <v>46722</v>
      </c>
      <c r="C28" s="38">
        <f t="shared" si="2"/>
        <v>547.52777398942317</v>
      </c>
      <c r="D28" s="38">
        <f t="shared" si="3"/>
        <v>152.63989504689684</v>
      </c>
      <c r="E28" s="38">
        <f t="shared" si="5"/>
        <v>394.8878789425263</v>
      </c>
      <c r="F28" s="38">
        <f t="shared" si="6"/>
        <v>26546.068703808141</v>
      </c>
      <c r="G28" s="38">
        <f t="shared" si="7"/>
        <v>26151.180824865616</v>
      </c>
      <c r="H28" s="71">
        <f t="shared" si="0"/>
        <v>4919.5500076727121</v>
      </c>
      <c r="I28" s="35">
        <f t="shared" si="1"/>
        <v>21231.630817192909</v>
      </c>
    </row>
    <row r="29" spans="1:10" ht="14.25" customHeight="1">
      <c r="A29" s="39">
        <v>17</v>
      </c>
      <c r="B29" s="72">
        <f t="shared" si="4"/>
        <v>46753</v>
      </c>
      <c r="C29" s="38">
        <f t="shared" si="2"/>
        <v>547.52777398942317</v>
      </c>
      <c r="D29" s="38">
        <f t="shared" si="3"/>
        <v>150.36928974297732</v>
      </c>
      <c r="E29" s="38">
        <f t="shared" si="5"/>
        <v>397.15848424644582</v>
      </c>
      <c r="F29" s="38">
        <f t="shared" si="6"/>
        <v>26151.180824865616</v>
      </c>
      <c r="G29" s="38">
        <f t="shared" si="7"/>
        <v>25754.022340619169</v>
      </c>
      <c r="H29" s="71">
        <f t="shared" si="0"/>
        <v>4947.8374202168307</v>
      </c>
      <c r="I29" s="35">
        <f t="shared" si="1"/>
        <v>20806.184920402346</v>
      </c>
    </row>
    <row r="30" spans="1:10" ht="14.25" customHeight="1">
      <c r="A30" s="36">
        <v>18</v>
      </c>
      <c r="B30" s="72">
        <f t="shared" si="4"/>
        <v>46784</v>
      </c>
      <c r="C30" s="38">
        <f t="shared" si="2"/>
        <v>547.52777398942317</v>
      </c>
      <c r="D30" s="38">
        <f t="shared" si="3"/>
        <v>148.08562845856025</v>
      </c>
      <c r="E30" s="38">
        <f t="shared" si="5"/>
        <v>399.44214553086294</v>
      </c>
      <c r="F30" s="38">
        <f t="shared" si="6"/>
        <v>25754.022340619169</v>
      </c>
      <c r="G30" s="38">
        <f t="shared" si="7"/>
        <v>25354.580195088307</v>
      </c>
      <c r="H30" s="71">
        <f t="shared" si="0"/>
        <v>4976.2874853830772</v>
      </c>
      <c r="I30" s="35">
        <f t="shared" si="1"/>
        <v>20378.292709705234</v>
      </c>
    </row>
    <row r="31" spans="1:10" ht="14.25" customHeight="1">
      <c r="A31" s="36">
        <v>19</v>
      </c>
      <c r="B31" s="72">
        <f t="shared" si="4"/>
        <v>46813</v>
      </c>
      <c r="C31" s="38">
        <f t="shared" si="2"/>
        <v>547.52777398942317</v>
      </c>
      <c r="D31" s="38">
        <f t="shared" si="3"/>
        <v>145.78883612175778</v>
      </c>
      <c r="E31" s="38">
        <f t="shared" si="5"/>
        <v>401.73893786766541</v>
      </c>
      <c r="F31" s="38">
        <f t="shared" si="6"/>
        <v>25354.580195088307</v>
      </c>
      <c r="G31" s="38">
        <f t="shared" si="7"/>
        <v>24952.84125722064</v>
      </c>
      <c r="H31" s="71">
        <f t="shared" si="0"/>
        <v>5004.9011384240303</v>
      </c>
      <c r="I31" s="35">
        <f t="shared" si="1"/>
        <v>19947.940118796614</v>
      </c>
    </row>
    <row r="32" spans="1:10" ht="14.25" customHeight="1">
      <c r="A32" s="39">
        <v>20</v>
      </c>
      <c r="B32" s="72">
        <f t="shared" si="4"/>
        <v>46844</v>
      </c>
      <c r="C32" s="38">
        <f t="shared" si="2"/>
        <v>547.52777398942317</v>
      </c>
      <c r="D32" s="38">
        <f t="shared" si="3"/>
        <v>143.47883722901869</v>
      </c>
      <c r="E32" s="38">
        <f t="shared" si="5"/>
        <v>404.04893676040444</v>
      </c>
      <c r="F32" s="38">
        <f t="shared" si="6"/>
        <v>24952.84125722064</v>
      </c>
      <c r="G32" s="38">
        <f t="shared" si="7"/>
        <v>24548.792320460234</v>
      </c>
      <c r="H32" s="71">
        <f t="shared" si="0"/>
        <v>5033.6793199699678</v>
      </c>
      <c r="I32" s="35">
        <f t="shared" si="1"/>
        <v>19515.113000490273</v>
      </c>
    </row>
    <row r="33" spans="1:9" ht="14.25" customHeight="1">
      <c r="A33" s="36">
        <v>21</v>
      </c>
      <c r="B33" s="72">
        <f t="shared" si="4"/>
        <v>46874</v>
      </c>
      <c r="C33" s="38">
        <f t="shared" si="2"/>
        <v>547.52777398942317</v>
      </c>
      <c r="D33" s="38">
        <f t="shared" si="3"/>
        <v>141.15555584264635</v>
      </c>
      <c r="E33" s="38">
        <f t="shared" si="5"/>
        <v>406.37221814677685</v>
      </c>
      <c r="F33" s="38">
        <f t="shared" si="6"/>
        <v>24548.792320460234</v>
      </c>
      <c r="G33" s="38">
        <f t="shared" si="7"/>
        <v>24142.420102313456</v>
      </c>
      <c r="H33" s="71">
        <f t="shared" si="0"/>
        <v>5062.6229760597953</v>
      </c>
      <c r="I33" s="35">
        <f t="shared" si="1"/>
        <v>19079.79712625367</v>
      </c>
    </row>
    <row r="34" spans="1:9" ht="14.25" customHeight="1">
      <c r="A34" s="36">
        <v>22</v>
      </c>
      <c r="B34" s="72">
        <f t="shared" si="4"/>
        <v>46905</v>
      </c>
      <c r="C34" s="38">
        <f t="shared" si="2"/>
        <v>547.52777398942317</v>
      </c>
      <c r="D34" s="38">
        <f t="shared" si="3"/>
        <v>138.81891558830239</v>
      </c>
      <c r="E34" s="38">
        <f t="shared" si="5"/>
        <v>408.70885840112078</v>
      </c>
      <c r="F34" s="38">
        <f t="shared" si="6"/>
        <v>24142.420102313456</v>
      </c>
      <c r="G34" s="38">
        <f t="shared" si="7"/>
        <v>23733.711243912334</v>
      </c>
      <c r="H34" s="71">
        <f t="shared" si="0"/>
        <v>5091.733058172139</v>
      </c>
      <c r="I34" s="35">
        <f t="shared" si="1"/>
        <v>18641.978185740205</v>
      </c>
    </row>
    <row r="35" spans="1:9" ht="14.25" customHeight="1">
      <c r="A35" s="39">
        <v>23</v>
      </c>
      <c r="B35" s="72">
        <f t="shared" si="4"/>
        <v>46935</v>
      </c>
      <c r="C35" s="38">
        <f t="shared" si="2"/>
        <v>547.52777398942317</v>
      </c>
      <c r="D35" s="38">
        <f t="shared" si="3"/>
        <v>136.46883965249594</v>
      </c>
      <c r="E35" s="38">
        <f t="shared" si="5"/>
        <v>411.05893433692722</v>
      </c>
      <c r="F35" s="38">
        <f t="shared" si="6"/>
        <v>23733.711243912334</v>
      </c>
      <c r="G35" s="38">
        <f t="shared" si="7"/>
        <v>23322.652309575406</v>
      </c>
      <c r="H35" s="71">
        <f t="shared" si="0"/>
        <v>5121.0105232566284</v>
      </c>
      <c r="I35" s="35">
        <f t="shared" si="1"/>
        <v>18201.641786318789</v>
      </c>
    </row>
    <row r="36" spans="1:9" ht="14.25" customHeight="1">
      <c r="A36" s="36">
        <v>24</v>
      </c>
      <c r="B36" s="72">
        <f t="shared" si="4"/>
        <v>46966</v>
      </c>
      <c r="C36" s="38">
        <f t="shared" si="2"/>
        <v>547.52777398942317</v>
      </c>
      <c r="D36" s="38">
        <f t="shared" si="3"/>
        <v>134.10525078005861</v>
      </c>
      <c r="E36" s="38">
        <f t="shared" si="5"/>
        <v>413.42252320936456</v>
      </c>
      <c r="F36" s="38">
        <f t="shared" si="6"/>
        <v>23322.652309575406</v>
      </c>
      <c r="G36" s="38">
        <f t="shared" si="7"/>
        <v>22909.229786366042</v>
      </c>
      <c r="H36" s="71">
        <f t="shared" si="0"/>
        <v>5150.4563337653544</v>
      </c>
      <c r="I36" s="35">
        <f t="shared" si="1"/>
        <v>17758.773452600701</v>
      </c>
    </row>
    <row r="37" spans="1:9" ht="14.25" customHeight="1">
      <c r="A37" s="36">
        <v>25</v>
      </c>
      <c r="B37" s="72">
        <f t="shared" si="4"/>
        <v>46997</v>
      </c>
      <c r="C37" s="38">
        <f t="shared" si="2"/>
        <v>547.52777398942317</v>
      </c>
      <c r="D37" s="38">
        <f t="shared" si="3"/>
        <v>131.72807127160476</v>
      </c>
      <c r="E37" s="38">
        <f t="shared" si="5"/>
        <v>415.79970271781838</v>
      </c>
      <c r="F37" s="38">
        <f t="shared" si="6"/>
        <v>22909.229786366042</v>
      </c>
      <c r="G37" s="38">
        <f t="shared" si="7"/>
        <v>22493.430083648225</v>
      </c>
      <c r="H37" s="71">
        <f t="shared" si="0"/>
        <v>5180.0714576845057</v>
      </c>
      <c r="I37" s="35">
        <f t="shared" si="1"/>
        <v>17313.358625963727</v>
      </c>
    </row>
    <row r="38" spans="1:9" ht="14.25" customHeight="1">
      <c r="A38" s="39">
        <v>26</v>
      </c>
      <c r="B38" s="72">
        <f t="shared" si="4"/>
        <v>47027</v>
      </c>
      <c r="C38" s="38">
        <f t="shared" si="2"/>
        <v>547.52777398942317</v>
      </c>
      <c r="D38" s="38">
        <f t="shared" si="3"/>
        <v>129.33722298097732</v>
      </c>
      <c r="E38" s="38">
        <f t="shared" si="5"/>
        <v>418.19055100844582</v>
      </c>
      <c r="F38" s="38">
        <f t="shared" si="6"/>
        <v>22493.430083648225</v>
      </c>
      <c r="G38" s="38">
        <f t="shared" si="7"/>
        <v>22075.239532639778</v>
      </c>
      <c r="H38" s="71">
        <f t="shared" si="0"/>
        <v>5209.8568685661912</v>
      </c>
      <c r="I38" s="35">
        <f t="shared" si="1"/>
        <v>16865.382664073597</v>
      </c>
    </row>
    <row r="39" spans="1:9" ht="14.25" customHeight="1">
      <c r="A39" s="36">
        <v>27</v>
      </c>
      <c r="B39" s="72">
        <f t="shared" si="4"/>
        <v>47058</v>
      </c>
      <c r="C39" s="38">
        <f t="shared" si="2"/>
        <v>547.52777398942317</v>
      </c>
      <c r="D39" s="38">
        <f t="shared" si="3"/>
        <v>126.93262731267875</v>
      </c>
      <c r="E39" s="38">
        <f t="shared" si="5"/>
        <v>420.59514667674443</v>
      </c>
      <c r="F39" s="38">
        <f t="shared" si="6"/>
        <v>22075.239532639778</v>
      </c>
      <c r="G39" s="38">
        <f t="shared" si="7"/>
        <v>21654.644385963034</v>
      </c>
      <c r="H39" s="71">
        <f t="shared" si="0"/>
        <v>5239.813545560447</v>
      </c>
      <c r="I39" s="35">
        <f t="shared" si="1"/>
        <v>16414.830840402596</v>
      </c>
    </row>
    <row r="40" spans="1:9" ht="14.25" customHeight="1">
      <c r="A40" s="36">
        <v>28</v>
      </c>
      <c r="B40" s="72">
        <f t="shared" si="4"/>
        <v>47088</v>
      </c>
      <c r="C40" s="38">
        <f t="shared" si="2"/>
        <v>547.52777398942317</v>
      </c>
      <c r="D40" s="38">
        <f t="shared" si="3"/>
        <v>124.51420521928746</v>
      </c>
      <c r="E40" s="38">
        <f t="shared" si="5"/>
        <v>423.01356877013569</v>
      </c>
      <c r="F40" s="38">
        <f t="shared" si="6"/>
        <v>21654.644385963034</v>
      </c>
      <c r="G40" s="38">
        <f t="shared" si="7"/>
        <v>21231.630817192898</v>
      </c>
      <c r="H40" s="71">
        <f t="shared" si="0"/>
        <v>5269.9424734474196</v>
      </c>
      <c r="I40" s="35">
        <f t="shared" si="1"/>
        <v>15961.688343745487</v>
      </c>
    </row>
    <row r="41" spans="1:9" ht="14.25" customHeight="1">
      <c r="A41" s="39">
        <v>29</v>
      </c>
      <c r="B41" s="72">
        <f t="shared" si="4"/>
        <v>47119</v>
      </c>
      <c r="C41" s="38">
        <f t="shared" si="2"/>
        <v>547.52777398942317</v>
      </c>
      <c r="D41" s="38">
        <f t="shared" si="3"/>
        <v>122.08187719885917</v>
      </c>
      <c r="E41" s="38">
        <f t="shared" si="5"/>
        <v>425.44589679056401</v>
      </c>
      <c r="F41" s="38">
        <f t="shared" si="6"/>
        <v>21231.630817192898</v>
      </c>
      <c r="G41" s="38">
        <f t="shared" si="7"/>
        <v>20806.184920402335</v>
      </c>
      <c r="H41" s="71">
        <f t="shared" si="0"/>
        <v>5300.2446426697425</v>
      </c>
      <c r="I41" s="35">
        <f t="shared" si="1"/>
        <v>15505.940277732601</v>
      </c>
    </row>
    <row r="42" spans="1:9" ht="14.25" customHeight="1">
      <c r="A42" s="36">
        <v>30</v>
      </c>
      <c r="B42" s="72">
        <f t="shared" si="4"/>
        <v>47150</v>
      </c>
      <c r="C42" s="38">
        <f t="shared" si="2"/>
        <v>547.52777398942317</v>
      </c>
      <c r="D42" s="38">
        <f t="shared" si="3"/>
        <v>119.63556329231344</v>
      </c>
      <c r="E42" s="38">
        <f t="shared" si="5"/>
        <v>427.8922106971097</v>
      </c>
      <c r="F42" s="38">
        <f t="shared" si="6"/>
        <v>20806.184920402335</v>
      </c>
      <c r="G42" s="38">
        <f t="shared" si="7"/>
        <v>20378.292709705223</v>
      </c>
      <c r="H42" s="71">
        <f t="shared" si="0"/>
        <v>5330.7210493650937</v>
      </c>
      <c r="I42" s="35">
        <f t="shared" si="1"/>
        <v>15047.57166034014</v>
      </c>
    </row>
    <row r="43" spans="1:9" ht="14.25" customHeight="1">
      <c r="A43" s="36">
        <v>31</v>
      </c>
      <c r="B43" s="72">
        <f t="shared" si="4"/>
        <v>47178</v>
      </c>
      <c r="C43" s="38">
        <f t="shared" si="2"/>
        <v>547.52777398942317</v>
      </c>
      <c r="D43" s="38">
        <f t="shared" si="3"/>
        <v>117.17518308080506</v>
      </c>
      <c r="E43" s="38">
        <f t="shared" si="5"/>
        <v>430.35259090861814</v>
      </c>
      <c r="F43" s="38">
        <f t="shared" si="6"/>
        <v>20378.292709705223</v>
      </c>
      <c r="G43" s="38">
        <f t="shared" si="7"/>
        <v>19947.940118796607</v>
      </c>
      <c r="H43" s="71">
        <f t="shared" si="0"/>
        <v>5361.3726953989426</v>
      </c>
      <c r="I43" s="35">
        <f t="shared" si="1"/>
        <v>14586.567423397672</v>
      </c>
    </row>
    <row r="44" spans="1:9" ht="14.25" customHeight="1">
      <c r="A44" s="39">
        <v>32</v>
      </c>
      <c r="B44" s="72">
        <f t="shared" si="4"/>
        <v>47209</v>
      </c>
      <c r="C44" s="38">
        <f t="shared" si="2"/>
        <v>547.52777398942317</v>
      </c>
      <c r="D44" s="38">
        <f t="shared" si="3"/>
        <v>114.7006556830805</v>
      </c>
      <c r="E44" s="38">
        <f t="shared" si="5"/>
        <v>432.82711830634264</v>
      </c>
      <c r="F44" s="38">
        <f t="shared" si="6"/>
        <v>19947.940118796607</v>
      </c>
      <c r="G44" s="38">
        <f t="shared" si="7"/>
        <v>19515.113000490262</v>
      </c>
      <c r="H44" s="71">
        <f t="shared" si="0"/>
        <v>5392.2005883974871</v>
      </c>
      <c r="I44" s="35">
        <f t="shared" si="1"/>
        <v>14122.912412092786</v>
      </c>
    </row>
    <row r="45" spans="1:9" ht="14.25" customHeight="1">
      <c r="A45" s="36">
        <v>33</v>
      </c>
      <c r="B45" s="72">
        <f t="shared" si="4"/>
        <v>47239</v>
      </c>
      <c r="C45" s="38">
        <f t="shared" si="2"/>
        <v>547.52777398942317</v>
      </c>
      <c r="D45" s="38">
        <f t="shared" si="3"/>
        <v>112.21189975281902</v>
      </c>
      <c r="E45" s="38">
        <f t="shared" si="5"/>
        <v>435.31587423660415</v>
      </c>
      <c r="F45" s="38">
        <f t="shared" si="6"/>
        <v>19515.113000490262</v>
      </c>
      <c r="G45" s="38">
        <f t="shared" si="7"/>
        <v>19079.797126253659</v>
      </c>
      <c r="H45" s="71">
        <f t="shared" si="0"/>
        <v>5423.2057417807728</v>
      </c>
      <c r="I45" s="35">
        <f t="shared" si="1"/>
        <v>13656.591384472897</v>
      </c>
    </row>
    <row r="46" spans="1:9" ht="14.25" customHeight="1">
      <c r="A46" s="36">
        <v>34</v>
      </c>
      <c r="B46" s="72">
        <f t="shared" si="4"/>
        <v>47270</v>
      </c>
      <c r="C46" s="38">
        <f t="shared" si="2"/>
        <v>547.52777398942317</v>
      </c>
      <c r="D46" s="38">
        <f t="shared" si="3"/>
        <v>109.70883347595856</v>
      </c>
      <c r="E46" s="38">
        <f t="shared" si="5"/>
        <v>437.81894051346461</v>
      </c>
      <c r="F46" s="38">
        <f t="shared" si="6"/>
        <v>19079.797126253659</v>
      </c>
      <c r="G46" s="38">
        <f t="shared" si="7"/>
        <v>18641.978185740194</v>
      </c>
      <c r="H46" s="71">
        <f t="shared" si="0"/>
        <v>5454.3891747960115</v>
      </c>
      <c r="I46" s="35">
        <f t="shared" si="1"/>
        <v>13187.589010944192</v>
      </c>
    </row>
    <row r="47" spans="1:9" ht="14.25" customHeight="1">
      <c r="A47" s="39">
        <v>35</v>
      </c>
      <c r="B47" s="72">
        <f t="shared" si="4"/>
        <v>47300</v>
      </c>
      <c r="C47" s="38">
        <f t="shared" si="2"/>
        <v>547.52777398942317</v>
      </c>
      <c r="D47" s="38">
        <f t="shared" si="3"/>
        <v>107.19137456800613</v>
      </c>
      <c r="E47" s="38">
        <f t="shared" si="5"/>
        <v>440.33639942141701</v>
      </c>
      <c r="F47" s="38">
        <f t="shared" si="6"/>
        <v>18641.978185740194</v>
      </c>
      <c r="G47" s="38">
        <f t="shared" si="7"/>
        <v>18201.641786318778</v>
      </c>
      <c r="H47" s="71">
        <f t="shared" si="0"/>
        <v>5485.7519125510889</v>
      </c>
      <c r="I47" s="35">
        <f t="shared" si="1"/>
        <v>12715.889873767697</v>
      </c>
    </row>
    <row r="48" spans="1:9" ht="14.25" customHeight="1">
      <c r="A48" s="36">
        <v>36</v>
      </c>
      <c r="B48" s="72">
        <f t="shared" si="4"/>
        <v>47331</v>
      </c>
      <c r="C48" s="38">
        <f t="shared" si="2"/>
        <v>547.52777398942317</v>
      </c>
      <c r="D48" s="38">
        <f t="shared" si="3"/>
        <v>104.65944027133298</v>
      </c>
      <c r="E48" s="38">
        <f t="shared" si="5"/>
        <v>442.86833371809018</v>
      </c>
      <c r="F48" s="38">
        <f t="shared" si="6"/>
        <v>18201.641786318778</v>
      </c>
      <c r="G48" s="38">
        <f t="shared" si="7"/>
        <v>17758.773452600686</v>
      </c>
      <c r="H48" s="71">
        <f t="shared" si="0"/>
        <v>5517.2949860482577</v>
      </c>
      <c r="I48" s="35">
        <f t="shared" si="1"/>
        <v>12241.478466552438</v>
      </c>
    </row>
    <row r="49" spans="1:9" ht="14.25" customHeight="1">
      <c r="A49" s="36">
        <v>37</v>
      </c>
      <c r="B49" s="72">
        <f t="shared" si="4"/>
        <v>47362</v>
      </c>
      <c r="C49" s="38">
        <f t="shared" si="2"/>
        <v>547.52777398942317</v>
      </c>
      <c r="D49" s="38">
        <f t="shared" si="3"/>
        <v>102.11294735245396</v>
      </c>
      <c r="E49" s="38">
        <f t="shared" si="5"/>
        <v>445.41482663696922</v>
      </c>
      <c r="F49" s="38">
        <f t="shared" si="6"/>
        <v>17758.773452600686</v>
      </c>
      <c r="G49" s="38">
        <f t="shared" si="7"/>
        <v>17313.358625963716</v>
      </c>
      <c r="H49" s="71">
        <f t="shared" si="0"/>
        <v>5549.019432218035</v>
      </c>
      <c r="I49" s="35">
        <f t="shared" si="1"/>
        <v>11764.339193745691</v>
      </c>
    </row>
    <row r="50" spans="1:9" ht="14.25" customHeight="1">
      <c r="A50" s="39">
        <v>38</v>
      </c>
      <c r="B50" s="72">
        <f t="shared" si="4"/>
        <v>47392</v>
      </c>
      <c r="C50" s="38">
        <f t="shared" si="2"/>
        <v>547.52777398942317</v>
      </c>
      <c r="D50" s="38">
        <f t="shared" si="3"/>
        <v>99.551812099291382</v>
      </c>
      <c r="E50" s="38">
        <f t="shared" si="5"/>
        <v>447.97596189013177</v>
      </c>
      <c r="F50" s="38">
        <f t="shared" si="6"/>
        <v>17313.358625963716</v>
      </c>
      <c r="G50" s="38">
        <f t="shared" si="7"/>
        <v>16865.382664073582</v>
      </c>
      <c r="H50" s="71">
        <f t="shared" si="0"/>
        <v>5580.9262939532891</v>
      </c>
      <c r="I50" s="35">
        <f t="shared" si="1"/>
        <v>11284.456370120306</v>
      </c>
    </row>
    <row r="51" spans="1:9" ht="14.25" customHeight="1">
      <c r="A51" s="36">
        <v>39</v>
      </c>
      <c r="B51" s="72">
        <f t="shared" si="4"/>
        <v>47423</v>
      </c>
      <c r="C51" s="38">
        <f t="shared" si="2"/>
        <v>547.52777398942317</v>
      </c>
      <c r="D51" s="38">
        <f t="shared" si="3"/>
        <v>96.975950318423116</v>
      </c>
      <c r="E51" s="38">
        <f t="shared" si="5"/>
        <v>450.55182367100008</v>
      </c>
      <c r="F51" s="38">
        <f t="shared" si="6"/>
        <v>16865.382664073582</v>
      </c>
      <c r="G51" s="38">
        <f t="shared" si="7"/>
        <v>16414.830840402581</v>
      </c>
      <c r="H51" s="71">
        <f t="shared" si="0"/>
        <v>5613.0166201435213</v>
      </c>
      <c r="I51" s="35">
        <f t="shared" si="1"/>
        <v>10801.814220259073</v>
      </c>
    </row>
    <row r="52" spans="1:9" ht="14.25" customHeight="1">
      <c r="A52" s="36">
        <v>40</v>
      </c>
      <c r="B52" s="72">
        <f t="shared" si="4"/>
        <v>47453</v>
      </c>
      <c r="C52" s="38">
        <f t="shared" si="2"/>
        <v>547.52777398942317</v>
      </c>
      <c r="D52" s="38">
        <f t="shared" si="3"/>
        <v>94.385277332314857</v>
      </c>
      <c r="E52" s="38">
        <f t="shared" si="5"/>
        <v>453.14249665710832</v>
      </c>
      <c r="F52" s="38">
        <f t="shared" si="6"/>
        <v>16414.830840402581</v>
      </c>
      <c r="G52" s="38">
        <f t="shared" si="7"/>
        <v>15961.688343745473</v>
      </c>
      <c r="H52" s="71">
        <f t="shared" si="0"/>
        <v>5645.2914657093452</v>
      </c>
      <c r="I52" s="35">
        <f t="shared" si="1"/>
        <v>10316.396878036141</v>
      </c>
    </row>
    <row r="53" spans="1:9" ht="14.25" customHeight="1">
      <c r="A53" s="39">
        <v>41</v>
      </c>
      <c r="B53" s="72">
        <f t="shared" si="4"/>
        <v>47484</v>
      </c>
      <c r="C53" s="38">
        <f t="shared" si="2"/>
        <v>547.52777398942317</v>
      </c>
      <c r="D53" s="38">
        <f t="shared" si="3"/>
        <v>91.779707976536486</v>
      </c>
      <c r="E53" s="38">
        <f t="shared" si="5"/>
        <v>455.74806601288668</v>
      </c>
      <c r="F53" s="38">
        <f t="shared" si="6"/>
        <v>15961.688343745473</v>
      </c>
      <c r="G53" s="38">
        <f t="shared" si="7"/>
        <v>15505.940277732587</v>
      </c>
      <c r="H53" s="71">
        <f t="shared" si="0"/>
        <v>5677.7518916371746</v>
      </c>
      <c r="I53" s="35">
        <f t="shared" si="1"/>
        <v>9828.1883860954258</v>
      </c>
    </row>
    <row r="54" spans="1:9" ht="14.25" customHeight="1">
      <c r="A54" s="36">
        <v>42</v>
      </c>
      <c r="B54" s="72">
        <f t="shared" si="4"/>
        <v>47515</v>
      </c>
      <c r="C54" s="38">
        <f t="shared" si="2"/>
        <v>547.52777398942317</v>
      </c>
      <c r="D54" s="38">
        <f t="shared" si="3"/>
        <v>89.15915659696239</v>
      </c>
      <c r="E54" s="38">
        <f t="shared" si="5"/>
        <v>458.36861739246081</v>
      </c>
      <c r="F54" s="38">
        <f t="shared" si="6"/>
        <v>15505.940277732587</v>
      </c>
      <c r="G54" s="38">
        <f t="shared" si="7"/>
        <v>15047.571660340125</v>
      </c>
      <c r="H54" s="71">
        <f t="shared" si="0"/>
        <v>5710.3989650140875</v>
      </c>
      <c r="I54" s="35">
        <f t="shared" si="1"/>
        <v>9337.1726953260513</v>
      </c>
    </row>
    <row r="55" spans="1:9" ht="14.25" customHeight="1">
      <c r="A55" s="36">
        <v>43</v>
      </c>
      <c r="B55" s="72">
        <f t="shared" si="4"/>
        <v>47543</v>
      </c>
      <c r="C55" s="38">
        <f t="shared" si="2"/>
        <v>547.52777398942317</v>
      </c>
      <c r="D55" s="38">
        <f t="shared" si="3"/>
        <v>86.523537046955738</v>
      </c>
      <c r="E55" s="38">
        <f t="shared" si="5"/>
        <v>461.0042369424674</v>
      </c>
      <c r="F55" s="38">
        <f t="shared" si="6"/>
        <v>15047.571660340125</v>
      </c>
      <c r="G55" s="38">
        <f t="shared" si="7"/>
        <v>14586.567423397657</v>
      </c>
      <c r="H55" s="71">
        <f t="shared" si="0"/>
        <v>5743.2337590629186</v>
      </c>
      <c r="I55" s="35">
        <f t="shared" si="1"/>
        <v>8843.333664334752</v>
      </c>
    </row>
    <row r="56" spans="1:9" ht="14.25" customHeight="1">
      <c r="A56" s="39">
        <v>44</v>
      </c>
      <c r="B56" s="72">
        <f t="shared" si="4"/>
        <v>47574</v>
      </c>
      <c r="C56" s="38">
        <f t="shared" si="2"/>
        <v>547.52777398942317</v>
      </c>
      <c r="D56" s="38">
        <f t="shared" si="3"/>
        <v>83.872762684536539</v>
      </c>
      <c r="E56" s="38">
        <f t="shared" si="5"/>
        <v>463.65501130488661</v>
      </c>
      <c r="F56" s="38">
        <f t="shared" si="6"/>
        <v>14586.567423397657</v>
      </c>
      <c r="G56" s="38">
        <f t="shared" si="7"/>
        <v>14122.91241209277</v>
      </c>
      <c r="H56" s="71">
        <f t="shared" si="0"/>
        <v>5776.2573531775315</v>
      </c>
      <c r="I56" s="35">
        <f t="shared" si="1"/>
        <v>8346.6550589152539</v>
      </c>
    </row>
    <row r="57" spans="1:9" ht="14.25" customHeight="1">
      <c r="A57" s="36">
        <v>45</v>
      </c>
      <c r="B57" s="72">
        <f t="shared" si="4"/>
        <v>47604</v>
      </c>
      <c r="C57" s="38">
        <f t="shared" si="2"/>
        <v>547.52777398942317</v>
      </c>
      <c r="D57" s="38">
        <f t="shared" si="3"/>
        <v>81.206746369533434</v>
      </c>
      <c r="E57" s="38">
        <f t="shared" si="5"/>
        <v>466.32102761988972</v>
      </c>
      <c r="F57" s="38">
        <f t="shared" si="6"/>
        <v>14122.91241209277</v>
      </c>
      <c r="G57" s="38">
        <f t="shared" si="7"/>
        <v>13656.59138447288</v>
      </c>
      <c r="H57" s="71">
        <f t="shared" si="0"/>
        <v>5809.4708329583027</v>
      </c>
      <c r="I57" s="35">
        <f t="shared" si="1"/>
        <v>7847.1205515145948</v>
      </c>
    </row>
    <row r="58" spans="1:9" ht="14.25" customHeight="1">
      <c r="A58" s="36">
        <v>46</v>
      </c>
      <c r="B58" s="72">
        <f t="shared" si="4"/>
        <v>47635</v>
      </c>
      <c r="C58" s="38">
        <f t="shared" si="2"/>
        <v>547.52777398942317</v>
      </c>
      <c r="D58" s="38">
        <f t="shared" si="3"/>
        <v>78.525400460719069</v>
      </c>
      <c r="E58" s="38">
        <f t="shared" si="5"/>
        <v>469.00237352870408</v>
      </c>
      <c r="F58" s="38">
        <f t="shared" si="6"/>
        <v>13656.59138447288</v>
      </c>
      <c r="G58" s="38">
        <f t="shared" si="7"/>
        <v>13187.589010944175</v>
      </c>
      <c r="H58" s="71">
        <f t="shared" si="0"/>
        <v>5842.8752902478118</v>
      </c>
      <c r="I58" s="35">
        <f t="shared" si="1"/>
        <v>7344.7137206963807</v>
      </c>
    </row>
    <row r="59" spans="1:9" ht="14.25" customHeight="1">
      <c r="A59" s="39">
        <v>47</v>
      </c>
      <c r="B59" s="72">
        <f t="shared" si="4"/>
        <v>47665</v>
      </c>
      <c r="C59" s="38">
        <f t="shared" si="2"/>
        <v>547.52777398942317</v>
      </c>
      <c r="D59" s="38">
        <f t="shared" si="3"/>
        <v>75.82863681292902</v>
      </c>
      <c r="E59" s="38">
        <f t="shared" si="5"/>
        <v>471.69913717649416</v>
      </c>
      <c r="F59" s="38">
        <f t="shared" si="6"/>
        <v>13187.589010944175</v>
      </c>
      <c r="G59" s="38">
        <f t="shared" si="7"/>
        <v>12715.889873767681</v>
      </c>
      <c r="H59" s="71">
        <f t="shared" si="0"/>
        <v>5876.4718231667366</v>
      </c>
      <c r="I59" s="35">
        <f t="shared" si="1"/>
        <v>6839.4180506009625</v>
      </c>
    </row>
    <row r="60" spans="1:9" ht="14.25" customHeight="1">
      <c r="A60" s="36">
        <v>48</v>
      </c>
      <c r="B60" s="72">
        <f t="shared" si="4"/>
        <v>47696</v>
      </c>
      <c r="C60" s="38">
        <f t="shared" si="2"/>
        <v>547.52777398942317</v>
      </c>
      <c r="D60" s="38">
        <f t="shared" si="3"/>
        <v>73.116366774164177</v>
      </c>
      <c r="E60" s="38">
        <f t="shared" si="5"/>
        <v>474.41140721525898</v>
      </c>
      <c r="F60" s="38">
        <f t="shared" si="6"/>
        <v>12715.889873767681</v>
      </c>
      <c r="G60" s="38">
        <f t="shared" si="7"/>
        <v>12241.478466552422</v>
      </c>
      <c r="H60" s="71">
        <f t="shared" si="0"/>
        <v>5910.2615361499456</v>
      </c>
      <c r="I60" s="35">
        <f t="shared" si="1"/>
        <v>6331.2169304024947</v>
      </c>
    </row>
    <row r="61" spans="1:9" ht="14.25" customHeight="1">
      <c r="A61" s="36">
        <v>49</v>
      </c>
      <c r="B61" s="72">
        <f t="shared" si="4"/>
        <v>47727</v>
      </c>
      <c r="C61" s="38">
        <f t="shared" si="2"/>
        <v>547.52777398942317</v>
      </c>
      <c r="D61" s="38">
        <f t="shared" si="3"/>
        <v>70.388501182676436</v>
      </c>
      <c r="E61" s="38">
        <f t="shared" si="5"/>
        <v>477.1392728067467</v>
      </c>
      <c r="F61" s="38">
        <f t="shared" si="6"/>
        <v>12241.478466552422</v>
      </c>
      <c r="G61" s="38">
        <f t="shared" si="7"/>
        <v>11764.339193745676</v>
      </c>
      <c r="H61" s="71">
        <f t="shared" si="0"/>
        <v>5944.2455399828077</v>
      </c>
      <c r="I61" s="35">
        <f t="shared" si="1"/>
        <v>5820.093653762885</v>
      </c>
    </row>
    <row r="62" spans="1:9" ht="14.25" customHeight="1">
      <c r="A62" s="39">
        <v>50</v>
      </c>
      <c r="B62" s="72">
        <f t="shared" si="4"/>
        <v>47757</v>
      </c>
      <c r="C62" s="38">
        <f t="shared" si="2"/>
        <v>547.52777398942317</v>
      </c>
      <c r="D62" s="38">
        <f t="shared" si="3"/>
        <v>67.644950364037655</v>
      </c>
      <c r="E62" s="38">
        <f t="shared" si="5"/>
        <v>479.88282362538553</v>
      </c>
      <c r="F62" s="38">
        <f t="shared" si="6"/>
        <v>11764.339193745676</v>
      </c>
      <c r="G62" s="38">
        <f t="shared" si="7"/>
        <v>11284.456370120291</v>
      </c>
      <c r="H62" s="71">
        <f t="shared" si="0"/>
        <v>5978.4249518377092</v>
      </c>
      <c r="I62" s="35">
        <f t="shared" si="1"/>
        <v>5306.0314182825978</v>
      </c>
    </row>
    <row r="63" spans="1:9" ht="14.25" customHeight="1">
      <c r="A63" s="36">
        <v>51</v>
      </c>
      <c r="B63" s="72">
        <f t="shared" si="4"/>
        <v>47788</v>
      </c>
      <c r="C63" s="38">
        <f t="shared" si="2"/>
        <v>547.52777398942317</v>
      </c>
      <c r="D63" s="38">
        <f t="shared" si="3"/>
        <v>64.885624128191679</v>
      </c>
      <c r="E63" s="38">
        <f t="shared" si="5"/>
        <v>482.64214986123147</v>
      </c>
      <c r="F63" s="38">
        <f t="shared" si="6"/>
        <v>11284.456370120291</v>
      </c>
      <c r="G63" s="38">
        <f t="shared" si="7"/>
        <v>10801.814220259061</v>
      </c>
      <c r="H63" s="71">
        <f t="shared" si="0"/>
        <v>6012.8008953107756</v>
      </c>
      <c r="I63" s="35">
        <f t="shared" si="1"/>
        <v>4789.0133249482997</v>
      </c>
    </row>
    <row r="64" spans="1:9" ht="14.25" customHeight="1">
      <c r="A64" s="36">
        <v>52</v>
      </c>
      <c r="B64" s="72">
        <f t="shared" si="4"/>
        <v>47818</v>
      </c>
      <c r="C64" s="38">
        <f t="shared" si="2"/>
        <v>547.52777398942317</v>
      </c>
      <c r="D64" s="38">
        <f t="shared" si="3"/>
        <v>62.110431766489604</v>
      </c>
      <c r="E64" s="38">
        <f t="shared" si="5"/>
        <v>485.41734222293354</v>
      </c>
      <c r="F64" s="38">
        <f t="shared" si="6"/>
        <v>10801.814220259061</v>
      </c>
      <c r="G64" s="38">
        <f t="shared" si="7"/>
        <v>10316.396878036127</v>
      </c>
      <c r="H64" s="71">
        <f t="shared" si="0"/>
        <v>6047.3745004588127</v>
      </c>
      <c r="I64" s="35">
        <f t="shared" si="1"/>
        <v>4269.0223775773284</v>
      </c>
    </row>
    <row r="65" spans="1:9" ht="14.25" customHeight="1">
      <c r="A65" s="39">
        <v>53</v>
      </c>
      <c r="B65" s="72">
        <f t="shared" si="4"/>
        <v>47849</v>
      </c>
      <c r="C65" s="38">
        <f t="shared" si="2"/>
        <v>547.52777398942317</v>
      </c>
      <c r="D65" s="38">
        <f t="shared" si="3"/>
        <v>59.319282048707734</v>
      </c>
      <c r="E65" s="38">
        <f t="shared" si="5"/>
        <v>488.20849194071542</v>
      </c>
      <c r="F65" s="38">
        <f t="shared" si="6"/>
        <v>10316.396878036127</v>
      </c>
      <c r="G65" s="38">
        <f t="shared" si="7"/>
        <v>9828.1883860954113</v>
      </c>
      <c r="H65" s="71">
        <f t="shared" si="0"/>
        <v>6082.1469038364512</v>
      </c>
      <c r="I65" s="35">
        <f t="shared" si="1"/>
        <v>3746.0414822589751</v>
      </c>
    </row>
    <row r="66" spans="1:9" ht="14.25" customHeight="1">
      <c r="A66" s="36">
        <v>54</v>
      </c>
      <c r="B66" s="72">
        <f t="shared" si="4"/>
        <v>47880</v>
      </c>
      <c r="C66" s="38">
        <f t="shared" si="2"/>
        <v>547.52777398942317</v>
      </c>
      <c r="D66" s="38">
        <f t="shared" si="3"/>
        <v>56.512083220048623</v>
      </c>
      <c r="E66" s="38">
        <f t="shared" si="5"/>
        <v>491.01569076937454</v>
      </c>
      <c r="F66" s="38">
        <f t="shared" si="6"/>
        <v>9828.1883860954113</v>
      </c>
      <c r="G66" s="38">
        <f t="shared" si="7"/>
        <v>9337.1726953260368</v>
      </c>
      <c r="H66" s="71">
        <f t="shared" si="0"/>
        <v>6117.1192485335105</v>
      </c>
      <c r="I66" s="35">
        <f t="shared" si="1"/>
        <v>3220.0534467925409</v>
      </c>
    </row>
    <row r="67" spans="1:9" ht="14.25" customHeight="1">
      <c r="A67" s="36">
        <v>55</v>
      </c>
      <c r="B67" s="72">
        <f t="shared" si="4"/>
        <v>47908</v>
      </c>
      <c r="C67" s="38">
        <f t="shared" si="2"/>
        <v>547.52777398942317</v>
      </c>
      <c r="D67" s="38">
        <f t="shared" si="3"/>
        <v>53.688742998124717</v>
      </c>
      <c r="E67" s="38">
        <f t="shared" si="5"/>
        <v>493.83903099129844</v>
      </c>
      <c r="F67" s="38">
        <f t="shared" si="6"/>
        <v>9337.1726953260368</v>
      </c>
      <c r="G67" s="38">
        <f t="shared" si="7"/>
        <v>8843.3336643347375</v>
      </c>
      <c r="H67" s="71">
        <f t="shared" si="0"/>
        <v>6152.292684212578</v>
      </c>
      <c r="I67" s="35">
        <f t="shared" si="1"/>
        <v>2691.0409801221749</v>
      </c>
    </row>
    <row r="68" spans="1:9" ht="14.25" customHeight="1">
      <c r="A68" s="39">
        <v>56</v>
      </c>
      <c r="B68" s="72">
        <f t="shared" si="4"/>
        <v>47939</v>
      </c>
      <c r="C68" s="38">
        <f t="shared" si="2"/>
        <v>547.52777398942317</v>
      </c>
      <c r="D68" s="38">
        <f t="shared" si="3"/>
        <v>50.84916856992475</v>
      </c>
      <c r="E68" s="38">
        <f t="shared" si="5"/>
        <v>496.67860541949841</v>
      </c>
      <c r="F68" s="38">
        <f t="shared" si="6"/>
        <v>8843.3336643347375</v>
      </c>
      <c r="G68" s="38">
        <f t="shared" si="7"/>
        <v>8346.6550589152394</v>
      </c>
      <c r="H68" s="71">
        <f t="shared" si="0"/>
        <v>6187.6683671467999</v>
      </c>
      <c r="I68" s="35">
        <f t="shared" si="1"/>
        <v>2158.986691768454</v>
      </c>
    </row>
    <row r="69" spans="1:9" ht="14.25" customHeight="1">
      <c r="A69" s="36">
        <v>57</v>
      </c>
      <c r="B69" s="72">
        <f t="shared" si="4"/>
        <v>47969</v>
      </c>
      <c r="C69" s="38">
        <f t="shared" si="2"/>
        <v>547.52777398942317</v>
      </c>
      <c r="D69" s="38">
        <f t="shared" si="3"/>
        <v>47.99326658876263</v>
      </c>
      <c r="E69" s="38">
        <f t="shared" si="5"/>
        <v>499.53450740066052</v>
      </c>
      <c r="F69" s="38">
        <f t="shared" si="6"/>
        <v>8346.6550589152394</v>
      </c>
      <c r="G69" s="38">
        <f t="shared" si="7"/>
        <v>7847.1205515145784</v>
      </c>
      <c r="H69" s="71">
        <f t="shared" si="0"/>
        <v>6223.247460257895</v>
      </c>
      <c r="I69" s="35">
        <f t="shared" si="1"/>
        <v>1623.8730912566994</v>
      </c>
    </row>
    <row r="70" spans="1:9" ht="14.25" customHeight="1">
      <c r="A70" s="36">
        <v>58</v>
      </c>
      <c r="B70" s="72">
        <f t="shared" si="4"/>
        <v>48000</v>
      </c>
      <c r="C70" s="38">
        <f t="shared" si="2"/>
        <v>547.52777398942317</v>
      </c>
      <c r="D70" s="38">
        <f t="shared" si="3"/>
        <v>45.120943171208829</v>
      </c>
      <c r="E70" s="38">
        <f t="shared" si="5"/>
        <v>502.40683081821436</v>
      </c>
      <c r="F70" s="38">
        <f t="shared" si="6"/>
        <v>7847.1205515145784</v>
      </c>
      <c r="G70" s="38">
        <f t="shared" si="7"/>
        <v>7344.7137206963644</v>
      </c>
      <c r="H70" s="71">
        <f t="shared" si="0"/>
        <v>6259.031133154378</v>
      </c>
      <c r="I70" s="35">
        <f t="shared" si="1"/>
        <v>1085.6825875420022</v>
      </c>
    </row>
    <row r="71" spans="1:9" ht="14.25" customHeight="1">
      <c r="A71" s="39">
        <v>59</v>
      </c>
      <c r="B71" s="72">
        <f t="shared" si="4"/>
        <v>48030</v>
      </c>
      <c r="C71" s="38">
        <f t="shared" si="2"/>
        <v>547.52777398942317</v>
      </c>
      <c r="D71" s="38">
        <f t="shared" si="3"/>
        <v>42.232103894004098</v>
      </c>
      <c r="E71" s="38">
        <f t="shared" si="5"/>
        <v>505.29567009541904</v>
      </c>
      <c r="F71" s="38">
        <f t="shared" si="6"/>
        <v>7344.7137206963644</v>
      </c>
      <c r="G71" s="38">
        <f t="shared" si="7"/>
        <v>6839.4180506009452</v>
      </c>
      <c r="H71" s="71">
        <f t="shared" si="0"/>
        <v>6295.020562170017</v>
      </c>
      <c r="I71" s="35">
        <f t="shared" si="1"/>
        <v>544.39748843094537</v>
      </c>
    </row>
    <row r="72" spans="1:9" ht="14.25" customHeight="1">
      <c r="A72" s="36">
        <v>60</v>
      </c>
      <c r="B72" s="72">
        <f t="shared" si="4"/>
        <v>48061</v>
      </c>
      <c r="C72" s="38">
        <f t="shared" si="2"/>
        <v>547.52777398942317</v>
      </c>
      <c r="D72" s="38">
        <f t="shared" si="3"/>
        <v>39.32665379095544</v>
      </c>
      <c r="E72" s="38">
        <f t="shared" si="5"/>
        <v>508.20112019846772</v>
      </c>
      <c r="F72" s="38">
        <f t="shared" si="6"/>
        <v>6839.4180506009452</v>
      </c>
      <c r="G72" s="38">
        <f t="shared" si="7"/>
        <v>6331.2169304024774</v>
      </c>
      <c r="H72" s="71">
        <f t="shared" si="0"/>
        <v>6331.2169304024947</v>
      </c>
      <c r="I72" s="35">
        <f t="shared" si="1"/>
        <v>0</v>
      </c>
    </row>
    <row r="73" spans="1:9" ht="14.25" customHeight="1">
      <c r="A73" s="36">
        <v>61</v>
      </c>
      <c r="B73" s="72">
        <f t="shared" si="4"/>
        <v>48092</v>
      </c>
      <c r="C73" s="38">
        <f t="shared" si="2"/>
        <v>547.52777398942317</v>
      </c>
      <c r="D73" s="38">
        <f t="shared" si="3"/>
        <v>36.40449734981425</v>
      </c>
      <c r="E73" s="38">
        <f t="shared" si="5"/>
        <v>511.12327663960889</v>
      </c>
      <c r="F73" s="38">
        <f t="shared" si="6"/>
        <v>6331.2169304024774</v>
      </c>
      <c r="G73" s="38">
        <f t="shared" si="7"/>
        <v>5820.0936537628686</v>
      </c>
      <c r="H73" s="71">
        <f t="shared" si="0"/>
        <v>5820.093653762885</v>
      </c>
      <c r="I73" s="35">
        <f t="shared" si="1"/>
        <v>0</v>
      </c>
    </row>
    <row r="74" spans="1:9" ht="14.25" customHeight="1">
      <c r="A74" s="39">
        <v>62</v>
      </c>
      <c r="B74" s="72">
        <f t="shared" si="4"/>
        <v>48122</v>
      </c>
      <c r="C74" s="38">
        <f t="shared" si="2"/>
        <v>547.52777398942317</v>
      </c>
      <c r="D74" s="38">
        <f t="shared" si="3"/>
        <v>33.465538509136501</v>
      </c>
      <c r="E74" s="38">
        <f t="shared" si="5"/>
        <v>514.06223548028663</v>
      </c>
      <c r="F74" s="38">
        <f t="shared" si="6"/>
        <v>5820.0936537628686</v>
      </c>
      <c r="G74" s="38">
        <f t="shared" si="7"/>
        <v>5306.0314182825823</v>
      </c>
      <c r="H74" s="71">
        <f t="shared" si="0"/>
        <v>5306.0314182825978</v>
      </c>
      <c r="I74" s="35">
        <f t="shared" si="1"/>
        <v>0</v>
      </c>
    </row>
    <row r="75" spans="1:9" ht="14.25" customHeight="1">
      <c r="A75" s="36">
        <v>63</v>
      </c>
      <c r="B75" s="72">
        <f t="shared" si="4"/>
        <v>48153</v>
      </c>
      <c r="C75" s="38">
        <f t="shared" si="2"/>
        <v>547.52777398942317</v>
      </c>
      <c r="D75" s="38">
        <f t="shared" si="3"/>
        <v>30.509680655124853</v>
      </c>
      <c r="E75" s="38">
        <f t="shared" si="5"/>
        <v>517.01809333429833</v>
      </c>
      <c r="F75" s="38">
        <f t="shared" si="6"/>
        <v>5306.0314182825823</v>
      </c>
      <c r="G75" s="38">
        <f t="shared" si="7"/>
        <v>4789.0133249482842</v>
      </c>
      <c r="H75" s="71">
        <f t="shared" si="0"/>
        <v>4789.0133249482997</v>
      </c>
      <c r="I75" s="35">
        <f t="shared" si="1"/>
        <v>0</v>
      </c>
    </row>
    <row r="76" spans="1:9" ht="14.25" customHeight="1">
      <c r="A76" s="36">
        <v>64</v>
      </c>
      <c r="B76" s="72">
        <f t="shared" si="4"/>
        <v>48183</v>
      </c>
      <c r="C76" s="38">
        <f t="shared" si="2"/>
        <v>547.52777398942317</v>
      </c>
      <c r="D76" s="38">
        <f t="shared" si="3"/>
        <v>27.536826618452636</v>
      </c>
      <c r="E76" s="38">
        <f t="shared" si="5"/>
        <v>519.9909473709705</v>
      </c>
      <c r="F76" s="38">
        <f t="shared" si="6"/>
        <v>4789.0133249482842</v>
      </c>
      <c r="G76" s="38">
        <f t="shared" si="7"/>
        <v>4269.0223775773138</v>
      </c>
      <c r="H76" s="71">
        <f t="shared" si="0"/>
        <v>4269.0223775773284</v>
      </c>
      <c r="I76" s="35">
        <f t="shared" si="1"/>
        <v>0</v>
      </c>
    </row>
    <row r="77" spans="1:9" ht="14.25" customHeight="1">
      <c r="A77" s="39">
        <v>65</v>
      </c>
      <c r="B77" s="72">
        <f t="shared" si="4"/>
        <v>48214</v>
      </c>
      <c r="C77" s="38">
        <f t="shared" si="2"/>
        <v>547.52777398942317</v>
      </c>
      <c r="D77" s="38">
        <f t="shared" si="3"/>
        <v>24.546878671069557</v>
      </c>
      <c r="E77" s="38">
        <f t="shared" si="5"/>
        <v>522.98089531835365</v>
      </c>
      <c r="F77" s="38">
        <f t="shared" si="6"/>
        <v>4269.0223775773138</v>
      </c>
      <c r="G77" s="38">
        <f t="shared" si="7"/>
        <v>3746.0414822589601</v>
      </c>
      <c r="H77" s="71">
        <f t="shared" ref="H77:H84" si="8">SUM(E78:E89)</f>
        <v>3746.0414822589751</v>
      </c>
      <c r="I77" s="35">
        <f t="shared" ref="I77:I84" si="9">SUM(E90:E149)</f>
        <v>0</v>
      </c>
    </row>
    <row r="78" spans="1:9" ht="14.25" customHeight="1">
      <c r="A78" s="36">
        <v>66</v>
      </c>
      <c r="B78" s="72">
        <f t="shared" si="4"/>
        <v>48245</v>
      </c>
      <c r="C78" s="38">
        <f t="shared" ref="C78:C84" si="10">IF(A78&lt;=$I$9,D78,-PMT($E$9/12,$G$9*12-$I$9,$C$9,0,0))</f>
        <v>547.52777398942317</v>
      </c>
      <c r="D78" s="38">
        <f t="shared" ref="D78:D84" si="11">+$E$9/12*F78</f>
        <v>21.539738522989023</v>
      </c>
      <c r="E78" s="38">
        <f t="shared" si="5"/>
        <v>525.9880354664341</v>
      </c>
      <c r="F78" s="38">
        <f t="shared" si="6"/>
        <v>3746.0414822589601</v>
      </c>
      <c r="G78" s="38">
        <f t="shared" si="7"/>
        <v>3220.0534467925258</v>
      </c>
      <c r="H78" s="71">
        <f t="shared" si="8"/>
        <v>3220.0534467925409</v>
      </c>
      <c r="I78" s="35">
        <f t="shared" si="9"/>
        <v>0</v>
      </c>
    </row>
    <row r="79" spans="1:9" ht="14.25" customHeight="1">
      <c r="A79" s="36">
        <v>67</v>
      </c>
      <c r="B79" s="72">
        <f t="shared" ref="B79:B84" si="12">EDATE(B78,1)</f>
        <v>48274</v>
      </c>
      <c r="C79" s="38">
        <f t="shared" si="10"/>
        <v>547.52777398942317</v>
      </c>
      <c r="D79" s="38">
        <f t="shared" si="11"/>
        <v>18.515307319057026</v>
      </c>
      <c r="E79" s="38">
        <f t="shared" ref="E79:E84" si="13">+C79-D79</f>
        <v>529.01246667036617</v>
      </c>
      <c r="F79" s="38">
        <f t="shared" ref="F79:F84" si="14">+G78</f>
        <v>3220.0534467925258</v>
      </c>
      <c r="G79" s="38">
        <f t="shared" ref="G79:G84" si="15">+F79-E79</f>
        <v>2691.0409801221595</v>
      </c>
      <c r="H79" s="71">
        <f t="shared" si="8"/>
        <v>2691.0409801221749</v>
      </c>
      <c r="I79" s="35">
        <f t="shared" si="9"/>
        <v>0</v>
      </c>
    </row>
    <row r="80" spans="1:9" ht="14.25" customHeight="1">
      <c r="A80" s="39">
        <v>68</v>
      </c>
      <c r="B80" s="72">
        <f t="shared" si="12"/>
        <v>48305</v>
      </c>
      <c r="C80" s="38">
        <f t="shared" si="10"/>
        <v>547.52777398942317</v>
      </c>
      <c r="D80" s="38">
        <f t="shared" si="11"/>
        <v>15.473485635702419</v>
      </c>
      <c r="E80" s="38">
        <f t="shared" si="13"/>
        <v>532.05428835372072</v>
      </c>
      <c r="F80" s="38">
        <f t="shared" si="14"/>
        <v>2691.0409801221595</v>
      </c>
      <c r="G80" s="38">
        <f t="shared" si="15"/>
        <v>2158.9866917684385</v>
      </c>
      <c r="H80" s="71">
        <f t="shared" si="8"/>
        <v>2158.986691768454</v>
      </c>
      <c r="I80" s="35">
        <f t="shared" si="9"/>
        <v>0</v>
      </c>
    </row>
    <row r="81" spans="1:9" ht="14.25" customHeight="1">
      <c r="A81" s="36">
        <v>69</v>
      </c>
      <c r="B81" s="72">
        <f t="shared" si="12"/>
        <v>48335</v>
      </c>
      <c r="C81" s="38">
        <f t="shared" si="10"/>
        <v>547.52777398942317</v>
      </c>
      <c r="D81" s="38">
        <f t="shared" si="11"/>
        <v>12.414173477668523</v>
      </c>
      <c r="E81" s="38">
        <f t="shared" si="13"/>
        <v>535.11360051175461</v>
      </c>
      <c r="F81" s="38">
        <f t="shared" si="14"/>
        <v>2158.9866917684385</v>
      </c>
      <c r="G81" s="38">
        <f t="shared" si="15"/>
        <v>1623.8730912566839</v>
      </c>
      <c r="H81" s="71">
        <f t="shared" si="8"/>
        <v>1623.8730912566994</v>
      </c>
      <c r="I81" s="35">
        <f t="shared" si="9"/>
        <v>0</v>
      </c>
    </row>
    <row r="82" spans="1:9" ht="14.25" customHeight="1">
      <c r="A82" s="36">
        <v>70</v>
      </c>
      <c r="B82" s="72">
        <f t="shared" si="12"/>
        <v>48366</v>
      </c>
      <c r="C82" s="38">
        <f t="shared" si="10"/>
        <v>547.52777398942317</v>
      </c>
      <c r="D82" s="38">
        <f t="shared" si="11"/>
        <v>9.3372702747259329</v>
      </c>
      <c r="E82" s="38">
        <f t="shared" si="13"/>
        <v>538.19050371469723</v>
      </c>
      <c r="F82" s="38">
        <f t="shared" si="14"/>
        <v>1623.8730912566839</v>
      </c>
      <c r="G82" s="38">
        <f t="shared" si="15"/>
        <v>1085.6825875419868</v>
      </c>
      <c r="H82" s="71">
        <f t="shared" si="8"/>
        <v>1085.6825875420022</v>
      </c>
      <c r="I82" s="35">
        <f t="shared" si="9"/>
        <v>0</v>
      </c>
    </row>
    <row r="83" spans="1:9" ht="14.25" customHeight="1">
      <c r="A83" s="39">
        <v>71</v>
      </c>
      <c r="B83" s="72">
        <f t="shared" si="12"/>
        <v>48396</v>
      </c>
      <c r="C83" s="38">
        <f t="shared" si="10"/>
        <v>547.52777398942317</v>
      </c>
      <c r="D83" s="38">
        <f t="shared" si="11"/>
        <v>6.242674878366425</v>
      </c>
      <c r="E83" s="38">
        <f t="shared" si="13"/>
        <v>541.28509911105675</v>
      </c>
      <c r="F83" s="38">
        <f t="shared" si="14"/>
        <v>1085.6825875419868</v>
      </c>
      <c r="G83" s="38">
        <f t="shared" si="15"/>
        <v>544.39748843093003</v>
      </c>
      <c r="H83" s="71">
        <f t="shared" si="8"/>
        <v>544.39748843094537</v>
      </c>
      <c r="I83" s="35">
        <f t="shared" si="9"/>
        <v>0</v>
      </c>
    </row>
    <row r="84" spans="1:9" ht="14.25" customHeight="1">
      <c r="A84" s="36">
        <v>72</v>
      </c>
      <c r="B84" s="72">
        <f t="shared" si="12"/>
        <v>48427</v>
      </c>
      <c r="C84" s="38">
        <f t="shared" si="10"/>
        <v>547.52777398942317</v>
      </c>
      <c r="D84" s="38">
        <f t="shared" si="11"/>
        <v>3.1302855584778482</v>
      </c>
      <c r="E84" s="38">
        <f t="shared" si="13"/>
        <v>544.39748843094537</v>
      </c>
      <c r="F84" s="38">
        <f t="shared" si="14"/>
        <v>544.39748843093003</v>
      </c>
      <c r="G84" s="38">
        <f t="shared" si="15"/>
        <v>-1.5347723092418164E-11</v>
      </c>
      <c r="H84" s="71">
        <f t="shared" si="8"/>
        <v>0</v>
      </c>
      <c r="I84" s="35">
        <f t="shared" si="9"/>
        <v>0</v>
      </c>
    </row>
    <row r="85" spans="1:9" ht="12.75" customHeight="1"/>
    <row r="86" spans="1:9" ht="12.75" customHeight="1"/>
  </sheetData>
  <mergeCells count="1">
    <mergeCell ref="A8:C8"/>
  </mergeCells>
  <conditionalFormatting sqref="A8 D8:I8 A9:I11 A12:E12 A13:G84">
    <cfRule type="cellIs" dxfId="5" priority="3" stopIfTrue="1" operator="between">
      <formula>0</formula>
      <formula>0</formula>
    </cfRule>
  </conditionalFormatting>
  <conditionalFormatting sqref="F12:I12 H13:I84">
    <cfRule type="cellIs" dxfId="4" priority="2" stopIfTrue="1" operator="between">
      <formula>0</formula>
      <formula>0</formula>
    </cfRule>
  </conditionalFormatting>
  <conditionalFormatting sqref="J8:J84">
    <cfRule type="cellIs" dxfId="3" priority="4" stopIfTrue="1" operator="between">
      <formula>0</formula>
      <formula>0</formula>
    </cfRule>
  </conditionalFormatting>
  <conditionalFormatting sqref="K8:HH65526 A85:J65526">
    <cfRule type="cellIs" dxfId="2" priority="1" stopIfTrue="1" operator="between">
      <formula>0</formula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42A5E-5651-48C1-BF13-6D5EF265AFBC}">
  <dimension ref="B9:AL34"/>
  <sheetViews>
    <sheetView topLeftCell="A3" workbookViewId="0">
      <selection activeCell="B27" sqref="B27"/>
    </sheetView>
  </sheetViews>
  <sheetFormatPr baseColWidth="10" defaultRowHeight="15"/>
  <cols>
    <col min="2" max="2" width="50.7109375" bestFit="1" customWidth="1"/>
  </cols>
  <sheetData>
    <row r="9" spans="2:38" ht="36">
      <c r="B9" s="112"/>
      <c r="C9" s="113" t="s">
        <v>171</v>
      </c>
      <c r="D9" s="113" t="s">
        <v>203</v>
      </c>
      <c r="E9" s="113" t="s">
        <v>172</v>
      </c>
      <c r="F9" s="113" t="s">
        <v>235</v>
      </c>
      <c r="G9" s="113" t="s">
        <v>173</v>
      </c>
      <c r="H9" s="113" t="s">
        <v>201</v>
      </c>
      <c r="I9" s="113" t="s">
        <v>202</v>
      </c>
      <c r="J9" s="77"/>
      <c r="K9" s="77"/>
      <c r="L9" s="77"/>
    </row>
    <row r="10" spans="2:38">
      <c r="B10" s="114" t="s">
        <v>178</v>
      </c>
      <c r="C10" s="78">
        <f>D10*12</f>
        <v>18000</v>
      </c>
      <c r="D10" s="68">
        <v>1500</v>
      </c>
      <c r="E10" s="111">
        <f>325*12</f>
        <v>3900</v>
      </c>
      <c r="F10" s="68">
        <f>E10/12</f>
        <v>325</v>
      </c>
      <c r="G10" s="79"/>
      <c r="H10" s="111">
        <f>E10+C10</f>
        <v>21900</v>
      </c>
      <c r="I10" s="111">
        <f>H10/12</f>
        <v>1825</v>
      </c>
      <c r="J10" s="77"/>
      <c r="K10" s="77"/>
      <c r="L10" s="77"/>
    </row>
    <row r="11" spans="2:38">
      <c r="B11" s="114" t="s">
        <v>204</v>
      </c>
      <c r="C11" s="78">
        <f>C10</f>
        <v>18000</v>
      </c>
      <c r="D11" s="68">
        <f>C11/12</f>
        <v>1500</v>
      </c>
      <c r="E11" s="111">
        <f>C11*0.3</f>
        <v>5400</v>
      </c>
      <c r="F11" s="68">
        <f>E11/12</f>
        <v>450</v>
      </c>
      <c r="G11" s="79"/>
      <c r="H11" s="111">
        <f>E11+C11</f>
        <v>23400</v>
      </c>
      <c r="I11" s="111">
        <f>H11/12</f>
        <v>1950</v>
      </c>
      <c r="J11" s="77"/>
      <c r="K11" s="77"/>
      <c r="L11" s="77"/>
    </row>
    <row r="14" spans="2:38">
      <c r="B14" s="172" t="s">
        <v>234</v>
      </c>
      <c r="C14" s="172"/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</row>
    <row r="15" spans="2:38">
      <c r="B15" s="172" t="s">
        <v>6</v>
      </c>
      <c r="C15" s="172" t="s">
        <v>16</v>
      </c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</row>
    <row r="16" spans="2:38">
      <c r="B16" s="172"/>
      <c r="C16" s="172" t="s">
        <v>17</v>
      </c>
      <c r="D16" s="172" t="s">
        <v>18</v>
      </c>
      <c r="E16" s="172" t="s">
        <v>19</v>
      </c>
      <c r="F16" s="172" t="s">
        <v>20</v>
      </c>
      <c r="G16" s="172" t="s">
        <v>21</v>
      </c>
      <c r="H16" s="172" t="s">
        <v>22</v>
      </c>
      <c r="I16" s="172" t="s">
        <v>23</v>
      </c>
      <c r="J16" s="172" t="s">
        <v>24</v>
      </c>
      <c r="K16" s="172" t="s">
        <v>25</v>
      </c>
      <c r="L16" s="172" t="s">
        <v>26</v>
      </c>
      <c r="M16" s="172" t="s">
        <v>27</v>
      </c>
      <c r="N16" s="172" t="s">
        <v>28</v>
      </c>
      <c r="O16" s="172" t="s">
        <v>133</v>
      </c>
      <c r="P16" s="172" t="s">
        <v>134</v>
      </c>
      <c r="Q16" s="172" t="s">
        <v>135</v>
      </c>
      <c r="R16" s="172" t="s">
        <v>136</v>
      </c>
      <c r="S16" s="172" t="s">
        <v>137</v>
      </c>
      <c r="T16" s="172" t="s">
        <v>138</v>
      </c>
      <c r="U16" s="172" t="s">
        <v>139</v>
      </c>
      <c r="V16" s="172" t="s">
        <v>140</v>
      </c>
      <c r="W16" s="172" t="s">
        <v>141</v>
      </c>
      <c r="X16" s="172" t="s">
        <v>142</v>
      </c>
      <c r="Y16" s="172" t="s">
        <v>143</v>
      </c>
      <c r="Z16" s="172" t="s">
        <v>144</v>
      </c>
      <c r="AA16" s="172" t="s">
        <v>145</v>
      </c>
      <c r="AB16" s="172" t="s">
        <v>146</v>
      </c>
      <c r="AC16" s="172" t="s">
        <v>147</v>
      </c>
      <c r="AD16" s="172" t="s">
        <v>148</v>
      </c>
      <c r="AE16" s="172" t="s">
        <v>149</v>
      </c>
      <c r="AF16" s="172" t="s">
        <v>150</v>
      </c>
      <c r="AG16" s="172" t="s">
        <v>151</v>
      </c>
      <c r="AH16" s="172" t="s">
        <v>152</v>
      </c>
      <c r="AI16" s="172" t="s">
        <v>153</v>
      </c>
      <c r="AJ16" s="172" t="s">
        <v>154</v>
      </c>
      <c r="AK16" s="172" t="s">
        <v>155</v>
      </c>
      <c r="AL16" s="172" t="s">
        <v>156</v>
      </c>
    </row>
    <row r="17" spans="2:38">
      <c r="B17" s="172" t="s">
        <v>159</v>
      </c>
      <c r="C17" s="172">
        <f>C29</f>
        <v>46266</v>
      </c>
      <c r="D17" s="172">
        <f>EDATE(C17,1)</f>
        <v>46296</v>
      </c>
      <c r="E17" s="172">
        <f t="shared" ref="E17" si="0">EDATE(D17,1)</f>
        <v>46327</v>
      </c>
      <c r="F17" s="172">
        <f t="shared" ref="F17" si="1">EDATE(E17,1)</f>
        <v>46357</v>
      </c>
      <c r="G17" s="172">
        <f t="shared" ref="G17" si="2">EDATE(F17,1)</f>
        <v>46388</v>
      </c>
      <c r="H17" s="172">
        <f t="shared" ref="H17" si="3">EDATE(G17,1)</f>
        <v>46419</v>
      </c>
      <c r="I17" s="172">
        <f t="shared" ref="I17" si="4">EDATE(H17,1)</f>
        <v>46447</v>
      </c>
      <c r="J17" s="172">
        <f t="shared" ref="J17" si="5">EDATE(I17,1)</f>
        <v>46478</v>
      </c>
      <c r="K17" s="172">
        <f t="shared" ref="K17" si="6">EDATE(J17,1)</f>
        <v>46508</v>
      </c>
      <c r="L17" s="172">
        <f t="shared" ref="L17" si="7">EDATE(K17,1)</f>
        <v>46539</v>
      </c>
      <c r="M17" s="172">
        <f t="shared" ref="M17" si="8">EDATE(L17,1)</f>
        <v>46569</v>
      </c>
      <c r="N17" s="172">
        <f t="shared" ref="N17" si="9">EDATE(M17,1)</f>
        <v>46600</v>
      </c>
      <c r="O17" s="172">
        <f t="shared" ref="O17" si="10">EDATE(N17,1)</f>
        <v>46631</v>
      </c>
      <c r="P17" s="172">
        <f t="shared" ref="P17" si="11">EDATE(O17,1)</f>
        <v>46661</v>
      </c>
      <c r="Q17" s="172">
        <f t="shared" ref="Q17" si="12">EDATE(P17,1)</f>
        <v>46692</v>
      </c>
      <c r="R17" s="172">
        <f t="shared" ref="R17" si="13">EDATE(Q17,1)</f>
        <v>46722</v>
      </c>
      <c r="S17" s="172">
        <f t="shared" ref="S17" si="14">EDATE(R17,1)</f>
        <v>46753</v>
      </c>
      <c r="T17" s="172">
        <f t="shared" ref="T17" si="15">EDATE(S17,1)</f>
        <v>46784</v>
      </c>
      <c r="U17" s="172">
        <f t="shared" ref="U17" si="16">EDATE(T17,1)</f>
        <v>46813</v>
      </c>
      <c r="V17" s="172">
        <f t="shared" ref="V17" si="17">EDATE(U17,1)</f>
        <v>46844</v>
      </c>
      <c r="W17" s="172">
        <f t="shared" ref="W17" si="18">EDATE(V17,1)</f>
        <v>46874</v>
      </c>
      <c r="X17" s="172">
        <f t="shared" ref="X17" si="19">EDATE(W17,1)</f>
        <v>46905</v>
      </c>
      <c r="Y17" s="172">
        <f t="shared" ref="Y17" si="20">EDATE(X17,1)</f>
        <v>46935</v>
      </c>
      <c r="Z17" s="172">
        <f t="shared" ref="Z17" si="21">EDATE(Y17,1)</f>
        <v>46966</v>
      </c>
      <c r="AA17" s="172">
        <f t="shared" ref="AA17" si="22">EDATE(Z17,1)</f>
        <v>46997</v>
      </c>
      <c r="AB17" s="172">
        <f t="shared" ref="AB17" si="23">EDATE(AA17,1)</f>
        <v>47027</v>
      </c>
      <c r="AC17" s="172">
        <f t="shared" ref="AC17" si="24">EDATE(AB17,1)</f>
        <v>47058</v>
      </c>
      <c r="AD17" s="172">
        <f t="shared" ref="AD17" si="25">EDATE(AC17,1)</f>
        <v>47088</v>
      </c>
      <c r="AE17" s="172">
        <f t="shared" ref="AE17" si="26">EDATE(AD17,1)</f>
        <v>47119</v>
      </c>
      <c r="AF17" s="172">
        <f t="shared" ref="AF17" si="27">EDATE(AE17,1)</f>
        <v>47150</v>
      </c>
      <c r="AG17" s="172">
        <f t="shared" ref="AG17" si="28">EDATE(AF17,1)</f>
        <v>47178</v>
      </c>
      <c r="AH17" s="172">
        <f t="shared" ref="AH17" si="29">EDATE(AG17,1)</f>
        <v>47209</v>
      </c>
      <c r="AI17" s="172">
        <f t="shared" ref="AI17" si="30">EDATE(AH17,1)</f>
        <v>47239</v>
      </c>
      <c r="AJ17" s="172">
        <f t="shared" ref="AJ17" si="31">EDATE(AI17,1)</f>
        <v>47270</v>
      </c>
      <c r="AK17" s="172">
        <f t="shared" ref="AK17" si="32">EDATE(AJ17,1)</f>
        <v>47300</v>
      </c>
      <c r="AL17" s="172">
        <f t="shared" ref="AL17" si="33">EDATE(AK17,1)</f>
        <v>47331</v>
      </c>
    </row>
    <row r="18" spans="2:38">
      <c r="B18" s="80" t="s">
        <v>178</v>
      </c>
      <c r="C18" s="171">
        <v>1</v>
      </c>
      <c r="D18" s="171">
        <v>1</v>
      </c>
      <c r="E18" s="171">
        <v>1</v>
      </c>
      <c r="F18" s="171">
        <v>1</v>
      </c>
      <c r="G18" s="171">
        <v>1</v>
      </c>
      <c r="H18" s="171">
        <v>1</v>
      </c>
      <c r="I18" s="171">
        <v>1</v>
      </c>
      <c r="J18" s="171">
        <v>1</v>
      </c>
      <c r="K18" s="171">
        <v>1</v>
      </c>
      <c r="L18" s="171">
        <v>1</v>
      </c>
      <c r="M18" s="171">
        <v>1</v>
      </c>
      <c r="N18" s="171">
        <v>1</v>
      </c>
      <c r="O18" s="171">
        <v>1</v>
      </c>
      <c r="P18" s="171">
        <v>1</v>
      </c>
      <c r="Q18" s="171">
        <v>1</v>
      </c>
      <c r="R18" s="171">
        <v>1</v>
      </c>
      <c r="S18" s="171">
        <v>1</v>
      </c>
      <c r="T18" s="171">
        <v>1</v>
      </c>
      <c r="U18" s="171">
        <v>1</v>
      </c>
      <c r="V18" s="171">
        <v>1</v>
      </c>
      <c r="W18" s="171">
        <v>1</v>
      </c>
      <c r="X18" s="171">
        <v>1</v>
      </c>
      <c r="Y18" s="171">
        <v>1</v>
      </c>
      <c r="Z18" s="171">
        <v>1</v>
      </c>
      <c r="AA18" s="171">
        <v>1</v>
      </c>
      <c r="AB18" s="171">
        <v>1</v>
      </c>
      <c r="AC18" s="171">
        <v>1</v>
      </c>
      <c r="AD18" s="171">
        <v>1</v>
      </c>
      <c r="AE18" s="171">
        <v>1</v>
      </c>
      <c r="AF18" s="171">
        <v>1</v>
      </c>
      <c r="AG18" s="171">
        <v>1</v>
      </c>
      <c r="AH18" s="171">
        <v>1</v>
      </c>
      <c r="AI18" s="171">
        <v>1</v>
      </c>
      <c r="AJ18" s="171">
        <v>1</v>
      </c>
      <c r="AK18" s="171">
        <v>1</v>
      </c>
      <c r="AL18" s="171">
        <v>1</v>
      </c>
    </row>
    <row r="19" spans="2:38">
      <c r="B19" s="80" t="s">
        <v>179</v>
      </c>
      <c r="C19" s="171">
        <v>1</v>
      </c>
      <c r="D19" s="171">
        <v>1</v>
      </c>
      <c r="E19" s="171">
        <v>1</v>
      </c>
      <c r="F19" s="171">
        <v>1</v>
      </c>
      <c r="G19" s="171">
        <v>1</v>
      </c>
      <c r="H19" s="171">
        <v>1</v>
      </c>
      <c r="I19" s="171">
        <v>1</v>
      </c>
      <c r="J19" s="171">
        <v>1</v>
      </c>
      <c r="K19" s="171">
        <v>1</v>
      </c>
      <c r="L19" s="171">
        <v>1</v>
      </c>
      <c r="M19" s="171">
        <v>1</v>
      </c>
      <c r="N19" s="171">
        <v>1</v>
      </c>
      <c r="O19" s="171">
        <v>1</v>
      </c>
      <c r="P19" s="171">
        <v>1</v>
      </c>
      <c r="Q19" s="171">
        <v>1</v>
      </c>
      <c r="R19" s="171">
        <v>1</v>
      </c>
      <c r="S19" s="171">
        <v>1</v>
      </c>
      <c r="T19" s="171">
        <v>1</v>
      </c>
      <c r="U19" s="171">
        <v>1</v>
      </c>
      <c r="V19" s="171">
        <v>1</v>
      </c>
      <c r="W19" s="171">
        <v>1</v>
      </c>
      <c r="X19" s="171">
        <v>1</v>
      </c>
      <c r="Y19" s="171">
        <v>1</v>
      </c>
      <c r="Z19" s="171">
        <v>1</v>
      </c>
      <c r="AA19" s="171">
        <v>1</v>
      </c>
      <c r="AB19" s="171">
        <v>1</v>
      </c>
      <c r="AC19" s="171">
        <v>1</v>
      </c>
      <c r="AD19" s="171">
        <v>1</v>
      </c>
      <c r="AE19" s="171">
        <v>1</v>
      </c>
      <c r="AF19" s="171">
        <v>1</v>
      </c>
      <c r="AG19" s="171">
        <v>1</v>
      </c>
      <c r="AH19" s="171">
        <v>1</v>
      </c>
      <c r="AI19" s="171">
        <v>1</v>
      </c>
      <c r="AJ19" s="171">
        <v>1</v>
      </c>
      <c r="AK19" s="171">
        <v>1</v>
      </c>
      <c r="AL19" s="171">
        <v>1</v>
      </c>
    </row>
    <row r="20" spans="2:38">
      <c r="B20" s="80" t="s">
        <v>204</v>
      </c>
      <c r="C20" s="171"/>
      <c r="D20" s="171"/>
      <c r="E20" s="171"/>
      <c r="F20" s="171"/>
      <c r="G20" s="171">
        <v>0.5</v>
      </c>
      <c r="H20" s="171">
        <v>0.5</v>
      </c>
      <c r="I20" s="171">
        <v>0.5</v>
      </c>
      <c r="J20" s="171">
        <v>0.5</v>
      </c>
      <c r="K20" s="171">
        <v>0.5</v>
      </c>
      <c r="L20" s="171">
        <v>0.5</v>
      </c>
      <c r="M20" s="171">
        <v>0.5</v>
      </c>
      <c r="N20" s="171">
        <v>0.5</v>
      </c>
      <c r="O20" s="171">
        <v>0.5</v>
      </c>
      <c r="P20" s="171">
        <v>0.5</v>
      </c>
      <c r="Q20" s="171">
        <v>0.5</v>
      </c>
      <c r="R20" s="171">
        <v>0.5</v>
      </c>
      <c r="S20" s="171">
        <v>1</v>
      </c>
      <c r="T20" s="171">
        <v>1</v>
      </c>
      <c r="U20" s="171">
        <v>1</v>
      </c>
      <c r="V20" s="171">
        <v>1</v>
      </c>
      <c r="W20" s="171">
        <v>1</v>
      </c>
      <c r="X20" s="171">
        <v>1</v>
      </c>
      <c r="Y20" s="171">
        <v>1</v>
      </c>
      <c r="Z20" s="171">
        <v>1</v>
      </c>
      <c r="AA20" s="171">
        <v>1</v>
      </c>
      <c r="AB20" s="171">
        <v>1</v>
      </c>
      <c r="AC20" s="171">
        <v>1</v>
      </c>
      <c r="AD20" s="171">
        <v>1</v>
      </c>
      <c r="AE20" s="171">
        <v>1</v>
      </c>
      <c r="AF20" s="171">
        <v>1</v>
      </c>
      <c r="AG20" s="171">
        <v>1</v>
      </c>
      <c r="AH20" s="171">
        <v>1</v>
      </c>
      <c r="AI20" s="171">
        <v>1</v>
      </c>
      <c r="AJ20" s="171">
        <v>1</v>
      </c>
      <c r="AK20" s="171">
        <v>1</v>
      </c>
      <c r="AL20" s="171">
        <v>1</v>
      </c>
    </row>
    <row r="21" spans="2:38">
      <c r="B21" s="80" t="s">
        <v>205</v>
      </c>
      <c r="C21" s="171"/>
      <c r="D21" s="171"/>
      <c r="E21" s="171"/>
      <c r="F21" s="171"/>
      <c r="G21" s="171">
        <v>0.5</v>
      </c>
      <c r="H21" s="171">
        <v>0.5</v>
      </c>
      <c r="I21" s="171">
        <v>0.5</v>
      </c>
      <c r="J21" s="171">
        <v>0.5</v>
      </c>
      <c r="K21" s="171">
        <v>0.5</v>
      </c>
      <c r="L21" s="171">
        <v>0.5</v>
      </c>
      <c r="M21" s="171">
        <v>0.5</v>
      </c>
      <c r="N21" s="171">
        <v>0.5</v>
      </c>
      <c r="O21" s="171">
        <v>0.5</v>
      </c>
      <c r="P21" s="171">
        <v>0.5</v>
      </c>
      <c r="Q21" s="171">
        <v>0.5</v>
      </c>
      <c r="R21" s="171">
        <v>0.5</v>
      </c>
      <c r="S21" s="171">
        <v>1</v>
      </c>
      <c r="T21" s="171">
        <v>1</v>
      </c>
      <c r="U21" s="171">
        <v>1</v>
      </c>
      <c r="V21" s="171">
        <v>1</v>
      </c>
      <c r="W21" s="171">
        <v>1</v>
      </c>
      <c r="X21" s="171">
        <v>1</v>
      </c>
      <c r="Y21" s="171">
        <v>1</v>
      </c>
      <c r="Z21" s="171">
        <v>1</v>
      </c>
      <c r="AA21" s="171">
        <v>1</v>
      </c>
      <c r="AB21" s="171">
        <v>1</v>
      </c>
      <c r="AC21" s="171">
        <v>1</v>
      </c>
      <c r="AD21" s="171">
        <v>1</v>
      </c>
      <c r="AE21" s="171">
        <v>1</v>
      </c>
      <c r="AF21" s="171">
        <v>1</v>
      </c>
      <c r="AG21" s="171">
        <v>1</v>
      </c>
      <c r="AH21" s="171">
        <v>1</v>
      </c>
      <c r="AI21" s="171">
        <v>1</v>
      </c>
      <c r="AJ21" s="171">
        <v>1</v>
      </c>
      <c r="AK21" s="171">
        <v>1</v>
      </c>
      <c r="AL21" s="171">
        <v>1</v>
      </c>
    </row>
    <row r="22" spans="2:38">
      <c r="B22" s="90" t="s">
        <v>206</v>
      </c>
      <c r="C22" s="92">
        <f>C20+C18</f>
        <v>1</v>
      </c>
      <c r="D22" s="92">
        <f t="shared" ref="D22:AL22" si="34">D20+D18</f>
        <v>1</v>
      </c>
      <c r="E22" s="92">
        <f t="shared" si="34"/>
        <v>1</v>
      </c>
      <c r="F22" s="92">
        <f t="shared" si="34"/>
        <v>1</v>
      </c>
      <c r="G22" s="92">
        <f t="shared" si="34"/>
        <v>1.5</v>
      </c>
      <c r="H22" s="92">
        <f t="shared" si="34"/>
        <v>1.5</v>
      </c>
      <c r="I22" s="92">
        <f t="shared" si="34"/>
        <v>1.5</v>
      </c>
      <c r="J22" s="92">
        <f t="shared" si="34"/>
        <v>1.5</v>
      </c>
      <c r="K22" s="92">
        <f t="shared" si="34"/>
        <v>1.5</v>
      </c>
      <c r="L22" s="92">
        <f t="shared" si="34"/>
        <v>1.5</v>
      </c>
      <c r="M22" s="92">
        <f t="shared" si="34"/>
        <v>1.5</v>
      </c>
      <c r="N22" s="92">
        <f t="shared" si="34"/>
        <v>1.5</v>
      </c>
      <c r="O22" s="92">
        <f t="shared" si="34"/>
        <v>1.5</v>
      </c>
      <c r="P22" s="92">
        <f t="shared" si="34"/>
        <v>1.5</v>
      </c>
      <c r="Q22" s="92">
        <f t="shared" si="34"/>
        <v>1.5</v>
      </c>
      <c r="R22" s="92">
        <f t="shared" si="34"/>
        <v>1.5</v>
      </c>
      <c r="S22" s="92">
        <f t="shared" si="34"/>
        <v>2</v>
      </c>
      <c r="T22" s="92">
        <f t="shared" si="34"/>
        <v>2</v>
      </c>
      <c r="U22" s="92">
        <f t="shared" si="34"/>
        <v>2</v>
      </c>
      <c r="V22" s="92">
        <f t="shared" si="34"/>
        <v>2</v>
      </c>
      <c r="W22" s="92">
        <f t="shared" si="34"/>
        <v>2</v>
      </c>
      <c r="X22" s="92">
        <f t="shared" si="34"/>
        <v>2</v>
      </c>
      <c r="Y22" s="92">
        <f t="shared" si="34"/>
        <v>2</v>
      </c>
      <c r="Z22" s="92">
        <f t="shared" si="34"/>
        <v>2</v>
      </c>
      <c r="AA22" s="92">
        <f t="shared" si="34"/>
        <v>2</v>
      </c>
      <c r="AB22" s="92">
        <f t="shared" si="34"/>
        <v>2</v>
      </c>
      <c r="AC22" s="92">
        <f t="shared" si="34"/>
        <v>2</v>
      </c>
      <c r="AD22" s="92">
        <f t="shared" si="34"/>
        <v>2</v>
      </c>
      <c r="AE22" s="92">
        <f t="shared" si="34"/>
        <v>2</v>
      </c>
      <c r="AF22" s="92">
        <f t="shared" si="34"/>
        <v>2</v>
      </c>
      <c r="AG22" s="92">
        <f t="shared" si="34"/>
        <v>2</v>
      </c>
      <c r="AH22" s="92">
        <f t="shared" si="34"/>
        <v>2</v>
      </c>
      <c r="AI22" s="92">
        <f t="shared" si="34"/>
        <v>2</v>
      </c>
      <c r="AJ22" s="92">
        <f t="shared" si="34"/>
        <v>2</v>
      </c>
      <c r="AK22" s="92">
        <f t="shared" si="34"/>
        <v>2</v>
      </c>
      <c r="AL22" s="92">
        <f t="shared" si="34"/>
        <v>2</v>
      </c>
    </row>
    <row r="26" spans="2:38">
      <c r="B26" s="172" t="s">
        <v>159</v>
      </c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</row>
    <row r="27" spans="2:38">
      <c r="B27" s="172" t="s">
        <v>6</v>
      </c>
      <c r="C27" s="172" t="s">
        <v>16</v>
      </c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</row>
    <row r="28" spans="2:38">
      <c r="B28" s="172"/>
      <c r="C28" s="172" t="s">
        <v>17</v>
      </c>
      <c r="D28" s="172" t="s">
        <v>18</v>
      </c>
      <c r="E28" s="172" t="s">
        <v>19</v>
      </c>
      <c r="F28" s="172" t="s">
        <v>20</v>
      </c>
      <c r="G28" s="172" t="s">
        <v>21</v>
      </c>
      <c r="H28" s="172" t="s">
        <v>22</v>
      </c>
      <c r="I28" s="172" t="s">
        <v>23</v>
      </c>
      <c r="J28" s="172" t="s">
        <v>24</v>
      </c>
      <c r="K28" s="172" t="s">
        <v>25</v>
      </c>
      <c r="L28" s="172" t="s">
        <v>26</v>
      </c>
      <c r="M28" s="172" t="s">
        <v>27</v>
      </c>
      <c r="N28" s="172" t="s">
        <v>28</v>
      </c>
      <c r="O28" s="172" t="s">
        <v>133</v>
      </c>
      <c r="P28" s="172" t="s">
        <v>134</v>
      </c>
      <c r="Q28" s="172" t="s">
        <v>135</v>
      </c>
      <c r="R28" s="172" t="s">
        <v>136</v>
      </c>
      <c r="S28" s="172" t="s">
        <v>137</v>
      </c>
      <c r="T28" s="172" t="s">
        <v>138</v>
      </c>
      <c r="U28" s="172" t="s">
        <v>139</v>
      </c>
      <c r="V28" s="172" t="s">
        <v>140</v>
      </c>
      <c r="W28" s="172" t="s">
        <v>141</v>
      </c>
      <c r="X28" s="172" t="s">
        <v>142</v>
      </c>
      <c r="Y28" s="172" t="s">
        <v>143</v>
      </c>
      <c r="Z28" s="172" t="s">
        <v>144</v>
      </c>
      <c r="AA28" s="172" t="s">
        <v>145</v>
      </c>
      <c r="AB28" s="172" t="s">
        <v>146</v>
      </c>
      <c r="AC28" s="172" t="s">
        <v>147</v>
      </c>
      <c r="AD28" s="172" t="s">
        <v>148</v>
      </c>
      <c r="AE28" s="172" t="s">
        <v>149</v>
      </c>
      <c r="AF28" s="172" t="s">
        <v>150</v>
      </c>
      <c r="AG28" s="172" t="s">
        <v>151</v>
      </c>
      <c r="AH28" s="172" t="s">
        <v>152</v>
      </c>
      <c r="AI28" s="172" t="s">
        <v>153</v>
      </c>
      <c r="AJ28" s="172" t="s">
        <v>154</v>
      </c>
      <c r="AK28" s="172" t="s">
        <v>155</v>
      </c>
      <c r="AL28" s="172" t="s">
        <v>156</v>
      </c>
    </row>
    <row r="29" spans="2:38">
      <c r="B29" s="172" t="s">
        <v>159</v>
      </c>
      <c r="C29" s="172">
        <f>'Fuentes de financiación'!C30</f>
        <v>46266</v>
      </c>
      <c r="D29" s="172">
        <f>EDATE(C29,1)</f>
        <v>46296</v>
      </c>
      <c r="E29" s="172">
        <f t="shared" ref="E29:AL29" si="35">EDATE(D29,1)</f>
        <v>46327</v>
      </c>
      <c r="F29" s="172">
        <f t="shared" si="35"/>
        <v>46357</v>
      </c>
      <c r="G29" s="172">
        <f t="shared" si="35"/>
        <v>46388</v>
      </c>
      <c r="H29" s="172">
        <f t="shared" si="35"/>
        <v>46419</v>
      </c>
      <c r="I29" s="172">
        <f t="shared" si="35"/>
        <v>46447</v>
      </c>
      <c r="J29" s="172">
        <f t="shared" si="35"/>
        <v>46478</v>
      </c>
      <c r="K29" s="172">
        <f t="shared" si="35"/>
        <v>46508</v>
      </c>
      <c r="L29" s="172">
        <f t="shared" si="35"/>
        <v>46539</v>
      </c>
      <c r="M29" s="172">
        <f t="shared" si="35"/>
        <v>46569</v>
      </c>
      <c r="N29" s="172">
        <f t="shared" si="35"/>
        <v>46600</v>
      </c>
      <c r="O29" s="172">
        <f t="shared" si="35"/>
        <v>46631</v>
      </c>
      <c r="P29" s="172">
        <f t="shared" si="35"/>
        <v>46661</v>
      </c>
      <c r="Q29" s="172">
        <f t="shared" si="35"/>
        <v>46692</v>
      </c>
      <c r="R29" s="172">
        <f t="shared" si="35"/>
        <v>46722</v>
      </c>
      <c r="S29" s="172">
        <f t="shared" si="35"/>
        <v>46753</v>
      </c>
      <c r="T29" s="172">
        <f t="shared" si="35"/>
        <v>46784</v>
      </c>
      <c r="U29" s="172">
        <f t="shared" si="35"/>
        <v>46813</v>
      </c>
      <c r="V29" s="172">
        <f t="shared" si="35"/>
        <v>46844</v>
      </c>
      <c r="W29" s="172">
        <f t="shared" si="35"/>
        <v>46874</v>
      </c>
      <c r="X29" s="172">
        <f t="shared" si="35"/>
        <v>46905</v>
      </c>
      <c r="Y29" s="172">
        <f t="shared" si="35"/>
        <v>46935</v>
      </c>
      <c r="Z29" s="172">
        <f t="shared" si="35"/>
        <v>46966</v>
      </c>
      <c r="AA29" s="172">
        <f t="shared" si="35"/>
        <v>46997</v>
      </c>
      <c r="AB29" s="172">
        <f t="shared" si="35"/>
        <v>47027</v>
      </c>
      <c r="AC29" s="172">
        <f t="shared" si="35"/>
        <v>47058</v>
      </c>
      <c r="AD29" s="172">
        <f t="shared" si="35"/>
        <v>47088</v>
      </c>
      <c r="AE29" s="172">
        <f t="shared" si="35"/>
        <v>47119</v>
      </c>
      <c r="AF29" s="172">
        <f t="shared" si="35"/>
        <v>47150</v>
      </c>
      <c r="AG29" s="172">
        <f t="shared" si="35"/>
        <v>47178</v>
      </c>
      <c r="AH29" s="172">
        <f t="shared" si="35"/>
        <v>47209</v>
      </c>
      <c r="AI29" s="172">
        <f t="shared" si="35"/>
        <v>47239</v>
      </c>
      <c r="AJ29" s="172">
        <f t="shared" si="35"/>
        <v>47270</v>
      </c>
      <c r="AK29" s="172">
        <f t="shared" si="35"/>
        <v>47300</v>
      </c>
      <c r="AL29" s="172">
        <f t="shared" si="35"/>
        <v>47331</v>
      </c>
    </row>
    <row r="30" spans="2:38">
      <c r="B30" s="80" t="s">
        <v>178</v>
      </c>
      <c r="C30" s="152">
        <f t="shared" ref="C30:AL30" si="36">C18*$D$10</f>
        <v>1500</v>
      </c>
      <c r="D30" s="152">
        <f t="shared" si="36"/>
        <v>1500</v>
      </c>
      <c r="E30" s="152">
        <f t="shared" si="36"/>
        <v>1500</v>
      </c>
      <c r="F30" s="152">
        <f t="shared" si="36"/>
        <v>1500</v>
      </c>
      <c r="G30" s="152">
        <f t="shared" si="36"/>
        <v>1500</v>
      </c>
      <c r="H30" s="152">
        <f t="shared" si="36"/>
        <v>1500</v>
      </c>
      <c r="I30" s="152">
        <f t="shared" si="36"/>
        <v>1500</v>
      </c>
      <c r="J30" s="152">
        <f t="shared" si="36"/>
        <v>1500</v>
      </c>
      <c r="K30" s="152">
        <f t="shared" si="36"/>
        <v>1500</v>
      </c>
      <c r="L30" s="152">
        <f t="shared" si="36"/>
        <v>1500</v>
      </c>
      <c r="M30" s="152">
        <f t="shared" si="36"/>
        <v>1500</v>
      </c>
      <c r="N30" s="152">
        <f t="shared" si="36"/>
        <v>1500</v>
      </c>
      <c r="O30" s="152">
        <f t="shared" si="36"/>
        <v>1500</v>
      </c>
      <c r="P30" s="152">
        <f t="shared" si="36"/>
        <v>1500</v>
      </c>
      <c r="Q30" s="152">
        <f t="shared" si="36"/>
        <v>1500</v>
      </c>
      <c r="R30" s="152">
        <f t="shared" si="36"/>
        <v>1500</v>
      </c>
      <c r="S30" s="152">
        <f t="shared" si="36"/>
        <v>1500</v>
      </c>
      <c r="T30" s="152">
        <f t="shared" si="36"/>
        <v>1500</v>
      </c>
      <c r="U30" s="152">
        <f t="shared" si="36"/>
        <v>1500</v>
      </c>
      <c r="V30" s="152">
        <f t="shared" si="36"/>
        <v>1500</v>
      </c>
      <c r="W30" s="152">
        <f t="shared" si="36"/>
        <v>1500</v>
      </c>
      <c r="X30" s="152">
        <f t="shared" si="36"/>
        <v>1500</v>
      </c>
      <c r="Y30" s="152">
        <f t="shared" si="36"/>
        <v>1500</v>
      </c>
      <c r="Z30" s="152">
        <f t="shared" si="36"/>
        <v>1500</v>
      </c>
      <c r="AA30" s="152">
        <f t="shared" si="36"/>
        <v>1500</v>
      </c>
      <c r="AB30" s="152">
        <f t="shared" si="36"/>
        <v>1500</v>
      </c>
      <c r="AC30" s="152">
        <f t="shared" si="36"/>
        <v>1500</v>
      </c>
      <c r="AD30" s="152">
        <f t="shared" si="36"/>
        <v>1500</v>
      </c>
      <c r="AE30" s="152">
        <f t="shared" si="36"/>
        <v>1500</v>
      </c>
      <c r="AF30" s="152">
        <f t="shared" si="36"/>
        <v>1500</v>
      </c>
      <c r="AG30" s="152">
        <f t="shared" si="36"/>
        <v>1500</v>
      </c>
      <c r="AH30" s="152">
        <f t="shared" si="36"/>
        <v>1500</v>
      </c>
      <c r="AI30" s="152">
        <f t="shared" si="36"/>
        <v>1500</v>
      </c>
      <c r="AJ30" s="152">
        <f t="shared" si="36"/>
        <v>1500</v>
      </c>
      <c r="AK30" s="152">
        <f t="shared" si="36"/>
        <v>1500</v>
      </c>
      <c r="AL30" s="152">
        <f t="shared" si="36"/>
        <v>1500</v>
      </c>
    </row>
    <row r="31" spans="2:38">
      <c r="B31" s="80" t="s">
        <v>179</v>
      </c>
      <c r="C31" s="152">
        <v>325</v>
      </c>
      <c r="D31" s="152">
        <v>325</v>
      </c>
      <c r="E31" s="152">
        <v>325</v>
      </c>
      <c r="F31" s="152">
        <v>325</v>
      </c>
      <c r="G31" s="152">
        <v>325</v>
      </c>
      <c r="H31" s="152">
        <v>325</v>
      </c>
      <c r="I31" s="152">
        <v>325</v>
      </c>
      <c r="J31" s="152">
        <v>325</v>
      </c>
      <c r="K31" s="152">
        <v>325</v>
      </c>
      <c r="L31" s="152">
        <v>325</v>
      </c>
      <c r="M31" s="152">
        <v>325</v>
      </c>
      <c r="N31" s="152">
        <v>325</v>
      </c>
      <c r="O31" s="152">
        <v>325</v>
      </c>
      <c r="P31" s="152">
        <v>325</v>
      </c>
      <c r="Q31" s="152">
        <v>325</v>
      </c>
      <c r="R31" s="152">
        <v>325</v>
      </c>
      <c r="S31" s="152">
        <v>325</v>
      </c>
      <c r="T31" s="152">
        <v>325</v>
      </c>
      <c r="U31" s="152">
        <v>325</v>
      </c>
      <c r="V31" s="152">
        <v>325</v>
      </c>
      <c r="W31" s="152">
        <v>325</v>
      </c>
      <c r="X31" s="152">
        <v>325</v>
      </c>
      <c r="Y31" s="152">
        <v>325</v>
      </c>
      <c r="Z31" s="152">
        <v>325</v>
      </c>
      <c r="AA31" s="152">
        <v>325</v>
      </c>
      <c r="AB31" s="152">
        <v>325</v>
      </c>
      <c r="AC31" s="152">
        <v>325</v>
      </c>
      <c r="AD31" s="152">
        <v>325</v>
      </c>
      <c r="AE31" s="152">
        <v>325</v>
      </c>
      <c r="AF31" s="152">
        <v>325</v>
      </c>
      <c r="AG31" s="152">
        <v>325</v>
      </c>
      <c r="AH31" s="152">
        <v>325</v>
      </c>
      <c r="AI31" s="152">
        <v>325</v>
      </c>
      <c r="AJ31" s="152">
        <v>325</v>
      </c>
      <c r="AK31" s="152">
        <v>325</v>
      </c>
      <c r="AL31" s="152">
        <v>325</v>
      </c>
    </row>
    <row r="32" spans="2:38">
      <c r="B32" s="80" t="s">
        <v>204</v>
      </c>
      <c r="C32" s="152">
        <f t="shared" ref="C32:AL32" si="37">$D$11*C20</f>
        <v>0</v>
      </c>
      <c r="D32" s="152">
        <f t="shared" si="37"/>
        <v>0</v>
      </c>
      <c r="E32" s="152">
        <f t="shared" si="37"/>
        <v>0</v>
      </c>
      <c r="F32" s="152">
        <f t="shared" si="37"/>
        <v>0</v>
      </c>
      <c r="G32" s="152">
        <f t="shared" si="37"/>
        <v>750</v>
      </c>
      <c r="H32" s="152">
        <f t="shared" si="37"/>
        <v>750</v>
      </c>
      <c r="I32" s="152">
        <f t="shared" si="37"/>
        <v>750</v>
      </c>
      <c r="J32" s="152">
        <f t="shared" si="37"/>
        <v>750</v>
      </c>
      <c r="K32" s="152">
        <f t="shared" si="37"/>
        <v>750</v>
      </c>
      <c r="L32" s="152">
        <f t="shared" si="37"/>
        <v>750</v>
      </c>
      <c r="M32" s="152">
        <f t="shared" si="37"/>
        <v>750</v>
      </c>
      <c r="N32" s="152">
        <f t="shared" si="37"/>
        <v>750</v>
      </c>
      <c r="O32" s="152">
        <f t="shared" si="37"/>
        <v>750</v>
      </c>
      <c r="P32" s="152">
        <f t="shared" si="37"/>
        <v>750</v>
      </c>
      <c r="Q32" s="152">
        <f t="shared" si="37"/>
        <v>750</v>
      </c>
      <c r="R32" s="152">
        <f t="shared" si="37"/>
        <v>750</v>
      </c>
      <c r="S32" s="152">
        <f t="shared" si="37"/>
        <v>1500</v>
      </c>
      <c r="T32" s="152">
        <f t="shared" si="37"/>
        <v>1500</v>
      </c>
      <c r="U32" s="152">
        <f t="shared" si="37"/>
        <v>1500</v>
      </c>
      <c r="V32" s="152">
        <f t="shared" si="37"/>
        <v>1500</v>
      </c>
      <c r="W32" s="152">
        <f t="shared" si="37"/>
        <v>1500</v>
      </c>
      <c r="X32" s="152">
        <f t="shared" si="37"/>
        <v>1500</v>
      </c>
      <c r="Y32" s="152">
        <f t="shared" si="37"/>
        <v>1500</v>
      </c>
      <c r="Z32" s="152">
        <f t="shared" si="37"/>
        <v>1500</v>
      </c>
      <c r="AA32" s="152">
        <f t="shared" si="37"/>
        <v>1500</v>
      </c>
      <c r="AB32" s="152">
        <f t="shared" si="37"/>
        <v>1500</v>
      </c>
      <c r="AC32" s="152">
        <f t="shared" si="37"/>
        <v>1500</v>
      </c>
      <c r="AD32" s="152">
        <f t="shared" si="37"/>
        <v>1500</v>
      </c>
      <c r="AE32" s="152">
        <f t="shared" si="37"/>
        <v>1500</v>
      </c>
      <c r="AF32" s="152">
        <f t="shared" si="37"/>
        <v>1500</v>
      </c>
      <c r="AG32" s="152">
        <f t="shared" si="37"/>
        <v>1500</v>
      </c>
      <c r="AH32" s="152">
        <f t="shared" si="37"/>
        <v>1500</v>
      </c>
      <c r="AI32" s="152">
        <f t="shared" si="37"/>
        <v>1500</v>
      </c>
      <c r="AJ32" s="152">
        <f t="shared" si="37"/>
        <v>1500</v>
      </c>
      <c r="AK32" s="152">
        <f t="shared" si="37"/>
        <v>1500</v>
      </c>
      <c r="AL32" s="152">
        <f t="shared" si="37"/>
        <v>1500</v>
      </c>
    </row>
    <row r="33" spans="2:38">
      <c r="B33" s="80" t="s">
        <v>205</v>
      </c>
      <c r="C33" s="152">
        <f t="shared" ref="C33:AL33" si="38">$F$11*C21</f>
        <v>0</v>
      </c>
      <c r="D33" s="152">
        <f t="shared" si="38"/>
        <v>0</v>
      </c>
      <c r="E33" s="152">
        <f t="shared" si="38"/>
        <v>0</v>
      </c>
      <c r="F33" s="152">
        <f t="shared" si="38"/>
        <v>0</v>
      </c>
      <c r="G33" s="152">
        <f t="shared" si="38"/>
        <v>225</v>
      </c>
      <c r="H33" s="152">
        <f t="shared" si="38"/>
        <v>225</v>
      </c>
      <c r="I33" s="152">
        <f t="shared" si="38"/>
        <v>225</v>
      </c>
      <c r="J33" s="152">
        <f t="shared" si="38"/>
        <v>225</v>
      </c>
      <c r="K33" s="152">
        <f t="shared" si="38"/>
        <v>225</v>
      </c>
      <c r="L33" s="152">
        <f t="shared" si="38"/>
        <v>225</v>
      </c>
      <c r="M33" s="152">
        <f t="shared" si="38"/>
        <v>225</v>
      </c>
      <c r="N33" s="152">
        <f t="shared" si="38"/>
        <v>225</v>
      </c>
      <c r="O33" s="152">
        <f t="shared" si="38"/>
        <v>225</v>
      </c>
      <c r="P33" s="152">
        <f t="shared" si="38"/>
        <v>225</v>
      </c>
      <c r="Q33" s="152">
        <f t="shared" si="38"/>
        <v>225</v>
      </c>
      <c r="R33" s="152">
        <f t="shared" si="38"/>
        <v>225</v>
      </c>
      <c r="S33" s="152">
        <f t="shared" si="38"/>
        <v>450</v>
      </c>
      <c r="T33" s="152">
        <f t="shared" si="38"/>
        <v>450</v>
      </c>
      <c r="U33" s="152">
        <f t="shared" si="38"/>
        <v>450</v>
      </c>
      <c r="V33" s="152">
        <f t="shared" si="38"/>
        <v>450</v>
      </c>
      <c r="W33" s="152">
        <f t="shared" si="38"/>
        <v>450</v>
      </c>
      <c r="X33" s="152">
        <f t="shared" si="38"/>
        <v>450</v>
      </c>
      <c r="Y33" s="152">
        <f t="shared" si="38"/>
        <v>450</v>
      </c>
      <c r="Z33" s="152">
        <f t="shared" si="38"/>
        <v>450</v>
      </c>
      <c r="AA33" s="152">
        <f t="shared" si="38"/>
        <v>450</v>
      </c>
      <c r="AB33" s="152">
        <f t="shared" si="38"/>
        <v>450</v>
      </c>
      <c r="AC33" s="152">
        <f t="shared" si="38"/>
        <v>450</v>
      </c>
      <c r="AD33" s="152">
        <f t="shared" si="38"/>
        <v>450</v>
      </c>
      <c r="AE33" s="152">
        <f t="shared" si="38"/>
        <v>450</v>
      </c>
      <c r="AF33" s="152">
        <f t="shared" si="38"/>
        <v>450</v>
      </c>
      <c r="AG33" s="152">
        <f t="shared" si="38"/>
        <v>450</v>
      </c>
      <c r="AH33" s="152">
        <f t="shared" si="38"/>
        <v>450</v>
      </c>
      <c r="AI33" s="152">
        <f t="shared" si="38"/>
        <v>450</v>
      </c>
      <c r="AJ33" s="152">
        <f t="shared" si="38"/>
        <v>450</v>
      </c>
      <c r="AK33" s="152">
        <f t="shared" si="38"/>
        <v>450</v>
      </c>
      <c r="AL33" s="152">
        <f t="shared" si="38"/>
        <v>450</v>
      </c>
    </row>
    <row r="34" spans="2:38">
      <c r="B34" s="90" t="s">
        <v>180</v>
      </c>
      <c r="C34" s="168">
        <f>SUM(C30:C33)</f>
        <v>1825</v>
      </c>
      <c r="D34" s="168">
        <f t="shared" ref="D34:AL34" si="39">SUM(D30:D33)</f>
        <v>1825</v>
      </c>
      <c r="E34" s="168">
        <f t="shared" si="39"/>
        <v>1825</v>
      </c>
      <c r="F34" s="168">
        <f t="shared" si="39"/>
        <v>1825</v>
      </c>
      <c r="G34" s="168">
        <f t="shared" si="39"/>
        <v>2800</v>
      </c>
      <c r="H34" s="168">
        <f t="shared" si="39"/>
        <v>2800</v>
      </c>
      <c r="I34" s="168">
        <f t="shared" si="39"/>
        <v>2800</v>
      </c>
      <c r="J34" s="168">
        <f t="shared" si="39"/>
        <v>2800</v>
      </c>
      <c r="K34" s="168">
        <f t="shared" si="39"/>
        <v>2800</v>
      </c>
      <c r="L34" s="168">
        <f t="shared" si="39"/>
        <v>2800</v>
      </c>
      <c r="M34" s="168">
        <f t="shared" si="39"/>
        <v>2800</v>
      </c>
      <c r="N34" s="168">
        <f t="shared" si="39"/>
        <v>2800</v>
      </c>
      <c r="O34" s="168">
        <f t="shared" si="39"/>
        <v>2800</v>
      </c>
      <c r="P34" s="168">
        <f t="shared" si="39"/>
        <v>2800</v>
      </c>
      <c r="Q34" s="168">
        <f t="shared" si="39"/>
        <v>2800</v>
      </c>
      <c r="R34" s="168">
        <f t="shared" si="39"/>
        <v>2800</v>
      </c>
      <c r="S34" s="168">
        <f t="shared" si="39"/>
        <v>3775</v>
      </c>
      <c r="T34" s="168">
        <f t="shared" si="39"/>
        <v>3775</v>
      </c>
      <c r="U34" s="168">
        <f t="shared" si="39"/>
        <v>3775</v>
      </c>
      <c r="V34" s="168">
        <f t="shared" si="39"/>
        <v>3775</v>
      </c>
      <c r="W34" s="168">
        <f t="shared" si="39"/>
        <v>3775</v>
      </c>
      <c r="X34" s="168">
        <f t="shared" si="39"/>
        <v>3775</v>
      </c>
      <c r="Y34" s="168">
        <f t="shared" si="39"/>
        <v>3775</v>
      </c>
      <c r="Z34" s="168">
        <f t="shared" si="39"/>
        <v>3775</v>
      </c>
      <c r="AA34" s="168">
        <f t="shared" si="39"/>
        <v>3775</v>
      </c>
      <c r="AB34" s="168">
        <f t="shared" si="39"/>
        <v>3775</v>
      </c>
      <c r="AC34" s="168">
        <f t="shared" si="39"/>
        <v>3775</v>
      </c>
      <c r="AD34" s="168">
        <f t="shared" si="39"/>
        <v>3775</v>
      </c>
      <c r="AE34" s="168">
        <f t="shared" si="39"/>
        <v>3775</v>
      </c>
      <c r="AF34" s="168">
        <f t="shared" si="39"/>
        <v>3775</v>
      </c>
      <c r="AG34" s="168">
        <f t="shared" si="39"/>
        <v>3775</v>
      </c>
      <c r="AH34" s="168">
        <f t="shared" si="39"/>
        <v>3775</v>
      </c>
      <c r="AI34" s="168">
        <f t="shared" si="39"/>
        <v>3775</v>
      </c>
      <c r="AJ34" s="168">
        <f t="shared" si="39"/>
        <v>3775</v>
      </c>
      <c r="AK34" s="168">
        <f t="shared" si="39"/>
        <v>3775</v>
      </c>
      <c r="AL34" s="168">
        <f t="shared" si="39"/>
        <v>3775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43A8-5442-4523-9902-1B105157193D}">
  <dimension ref="B9:H15"/>
  <sheetViews>
    <sheetView zoomScale="120" zoomScaleNormal="120" workbookViewId="0">
      <selection activeCell="B18" sqref="B18"/>
    </sheetView>
  </sheetViews>
  <sheetFormatPr baseColWidth="10" defaultRowHeight="15"/>
  <cols>
    <col min="2" max="2" width="42.85546875" bestFit="1" customWidth="1"/>
    <col min="3" max="3" width="17.28515625" bestFit="1" customWidth="1"/>
    <col min="4" max="4" width="16.85546875" bestFit="1" customWidth="1"/>
    <col min="5" max="5" width="20" bestFit="1" customWidth="1"/>
    <col min="6" max="6" width="13.85546875" bestFit="1" customWidth="1"/>
    <col min="7" max="7" width="8.5703125" bestFit="1" customWidth="1"/>
    <col min="8" max="8" width="8.7109375" bestFit="1" customWidth="1"/>
  </cols>
  <sheetData>
    <row r="9" spans="2:8">
      <c r="B9" s="172" t="s">
        <v>241</v>
      </c>
      <c r="C9" s="172"/>
      <c r="D9" s="172"/>
      <c r="E9" s="172"/>
      <c r="F9" s="172"/>
      <c r="G9" s="172"/>
      <c r="H9" s="172"/>
    </row>
    <row r="10" spans="2:8">
      <c r="B10" s="172" t="s">
        <v>238</v>
      </c>
      <c r="C10" s="172" t="s">
        <v>239</v>
      </c>
      <c r="D10" s="172" t="s">
        <v>237</v>
      </c>
      <c r="E10" s="172" t="s">
        <v>207</v>
      </c>
      <c r="F10" s="172" t="s">
        <v>208</v>
      </c>
      <c r="G10" s="172" t="s">
        <v>209</v>
      </c>
      <c r="H10" s="172" t="s">
        <v>210</v>
      </c>
    </row>
    <row r="11" spans="2:8">
      <c r="B11" s="80" t="s">
        <v>242</v>
      </c>
      <c r="C11" s="169">
        <v>0</v>
      </c>
      <c r="D11" s="169">
        <v>0</v>
      </c>
      <c r="E11" s="169">
        <v>0</v>
      </c>
      <c r="F11" s="169">
        <f>D11-E11</f>
        <v>0</v>
      </c>
      <c r="G11" s="170"/>
      <c r="H11" s="170"/>
    </row>
    <row r="12" spans="2:8">
      <c r="B12" s="80" t="s">
        <v>243</v>
      </c>
      <c r="C12" s="169">
        <v>145.19999999999999</v>
      </c>
      <c r="D12" s="169">
        <v>120</v>
      </c>
      <c r="E12" s="169">
        <v>30</v>
      </c>
      <c r="F12" s="169">
        <f t="shared" ref="F12:F15" si="0">D12-E12</f>
        <v>90</v>
      </c>
      <c r="G12" s="170">
        <f>E12/D12</f>
        <v>0.25</v>
      </c>
      <c r="H12" s="170">
        <f>F12/D12</f>
        <v>0.75</v>
      </c>
    </row>
    <row r="13" spans="2:8">
      <c r="B13" s="80" t="s">
        <v>244</v>
      </c>
      <c r="C13" s="169">
        <v>494.89</v>
      </c>
      <c r="D13" s="169">
        <v>409</v>
      </c>
      <c r="E13" s="169">
        <v>285</v>
      </c>
      <c r="F13" s="169">
        <f t="shared" si="0"/>
        <v>124</v>
      </c>
      <c r="G13" s="170">
        <f t="shared" ref="G13:G15" si="1">E13/D13</f>
        <v>0.69682151589242058</v>
      </c>
      <c r="H13" s="170">
        <f t="shared" ref="H13:H15" si="2">F13/D13</f>
        <v>0.30317848410757947</v>
      </c>
    </row>
    <row r="14" spans="2:8">
      <c r="B14" s="80" t="s">
        <v>245</v>
      </c>
      <c r="C14" s="169">
        <v>566.28</v>
      </c>
      <c r="D14" s="169">
        <v>468</v>
      </c>
      <c r="E14" s="169">
        <v>96</v>
      </c>
      <c r="F14" s="169">
        <f t="shared" si="0"/>
        <v>372</v>
      </c>
      <c r="G14" s="170">
        <f t="shared" si="1"/>
        <v>0.20512820512820512</v>
      </c>
      <c r="H14" s="170">
        <f t="shared" si="2"/>
        <v>0.79487179487179482</v>
      </c>
    </row>
    <row r="15" spans="2:8">
      <c r="B15" s="80" t="s">
        <v>246</v>
      </c>
      <c r="C15" s="169">
        <v>3615.48</v>
      </c>
      <c r="D15" s="169">
        <v>2988</v>
      </c>
      <c r="E15" s="169">
        <v>840</v>
      </c>
      <c r="F15" s="169">
        <f t="shared" si="0"/>
        <v>2148</v>
      </c>
      <c r="G15" s="170">
        <f t="shared" si="1"/>
        <v>0.28112449799196787</v>
      </c>
      <c r="H15" s="170">
        <f t="shared" si="2"/>
        <v>0.71887550200803207</v>
      </c>
    </row>
  </sheetData>
  <phoneticPr fontId="2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4C265-9904-4FC0-85BA-5CDED6455FFA}">
  <dimension ref="B8:AL30"/>
  <sheetViews>
    <sheetView tabSelected="1" workbookViewId="0">
      <selection activeCell="B8" sqref="B8:AL11"/>
    </sheetView>
  </sheetViews>
  <sheetFormatPr baseColWidth="10" defaultRowHeight="15"/>
  <cols>
    <col min="2" max="2" width="42.85546875" bestFit="1" customWidth="1"/>
    <col min="3" max="12" width="10.28515625" bestFit="1" customWidth="1"/>
    <col min="13" max="13" width="10.5703125" bestFit="1" customWidth="1"/>
    <col min="14" max="24" width="10.28515625" bestFit="1" customWidth="1"/>
    <col min="25" max="25" width="10.5703125" bestFit="1" customWidth="1"/>
    <col min="26" max="31" width="10.28515625" bestFit="1" customWidth="1"/>
    <col min="32" max="32" width="10.5703125" bestFit="1" customWidth="1"/>
    <col min="33" max="36" width="10.28515625" bestFit="1" customWidth="1"/>
    <col min="37" max="38" width="10.5703125" bestFit="1" customWidth="1"/>
  </cols>
  <sheetData>
    <row r="8" spans="2:38">
      <c r="B8" s="64" t="s">
        <v>215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</row>
    <row r="9" spans="2:38">
      <c r="B9" s="47" t="s">
        <v>6</v>
      </c>
      <c r="C9" s="66" t="s">
        <v>16</v>
      </c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</row>
    <row r="10" spans="2:38">
      <c r="B10" s="47"/>
      <c r="C10" s="48" t="s">
        <v>17</v>
      </c>
      <c r="D10" s="48" t="s">
        <v>18</v>
      </c>
      <c r="E10" s="48" t="s">
        <v>19</v>
      </c>
      <c r="F10" s="48" t="s">
        <v>20</v>
      </c>
      <c r="G10" s="48" t="s">
        <v>21</v>
      </c>
      <c r="H10" s="48" t="s">
        <v>22</v>
      </c>
      <c r="I10" s="48" t="s">
        <v>23</v>
      </c>
      <c r="J10" s="48" t="s">
        <v>24</v>
      </c>
      <c r="K10" s="48" t="s">
        <v>25</v>
      </c>
      <c r="L10" s="48" t="s">
        <v>26</v>
      </c>
      <c r="M10" s="48" t="s">
        <v>27</v>
      </c>
      <c r="N10" s="48" t="s">
        <v>28</v>
      </c>
      <c r="O10" s="48" t="s">
        <v>133</v>
      </c>
      <c r="P10" s="48" t="s">
        <v>134</v>
      </c>
      <c r="Q10" s="48" t="s">
        <v>135</v>
      </c>
      <c r="R10" s="48" t="s">
        <v>136</v>
      </c>
      <c r="S10" s="48" t="s">
        <v>137</v>
      </c>
      <c r="T10" s="48" t="s">
        <v>138</v>
      </c>
      <c r="U10" s="48" t="s">
        <v>139</v>
      </c>
      <c r="V10" s="48" t="s">
        <v>140</v>
      </c>
      <c r="W10" s="48" t="s">
        <v>141</v>
      </c>
      <c r="X10" s="48" t="s">
        <v>142</v>
      </c>
      <c r="Y10" s="48" t="s">
        <v>143</v>
      </c>
      <c r="Z10" s="48" t="s">
        <v>144</v>
      </c>
      <c r="AA10" s="48" t="s">
        <v>145</v>
      </c>
      <c r="AB10" s="48" t="s">
        <v>146</v>
      </c>
      <c r="AC10" s="48" t="s">
        <v>147</v>
      </c>
      <c r="AD10" s="48" t="s">
        <v>148</v>
      </c>
      <c r="AE10" s="48" t="s">
        <v>149</v>
      </c>
      <c r="AF10" s="48" t="s">
        <v>150</v>
      </c>
      <c r="AG10" s="48" t="s">
        <v>151</v>
      </c>
      <c r="AH10" s="48" t="s">
        <v>152</v>
      </c>
      <c r="AI10" s="48" t="s">
        <v>153</v>
      </c>
      <c r="AJ10" s="48" t="s">
        <v>154</v>
      </c>
      <c r="AK10" s="48" t="s">
        <v>155</v>
      </c>
      <c r="AL10" s="48" t="s">
        <v>156</v>
      </c>
    </row>
    <row r="11" spans="2:38">
      <c r="B11" s="47" t="s">
        <v>132</v>
      </c>
      <c r="C11" s="82">
        <f>'Fuentes de financiación'!C30</f>
        <v>46266</v>
      </c>
      <c r="D11" s="82">
        <f>EDATE(C11,1)</f>
        <v>46296</v>
      </c>
      <c r="E11" s="82">
        <f t="shared" ref="E11:AL11" si="0">EDATE(D11,1)</f>
        <v>46327</v>
      </c>
      <c r="F11" s="82">
        <f t="shared" si="0"/>
        <v>46357</v>
      </c>
      <c r="G11" s="82">
        <f t="shared" si="0"/>
        <v>46388</v>
      </c>
      <c r="H11" s="82">
        <f t="shared" si="0"/>
        <v>46419</v>
      </c>
      <c r="I11" s="82">
        <f t="shared" si="0"/>
        <v>46447</v>
      </c>
      <c r="J11" s="82">
        <f t="shared" si="0"/>
        <v>46478</v>
      </c>
      <c r="K11" s="82">
        <f t="shared" si="0"/>
        <v>46508</v>
      </c>
      <c r="L11" s="82">
        <f t="shared" si="0"/>
        <v>46539</v>
      </c>
      <c r="M11" s="82">
        <f t="shared" si="0"/>
        <v>46569</v>
      </c>
      <c r="N11" s="82">
        <f t="shared" si="0"/>
        <v>46600</v>
      </c>
      <c r="O11" s="82">
        <f t="shared" si="0"/>
        <v>46631</v>
      </c>
      <c r="P11" s="82">
        <f t="shared" si="0"/>
        <v>46661</v>
      </c>
      <c r="Q11" s="82">
        <f t="shared" si="0"/>
        <v>46692</v>
      </c>
      <c r="R11" s="82">
        <f t="shared" si="0"/>
        <v>46722</v>
      </c>
      <c r="S11" s="82">
        <f t="shared" si="0"/>
        <v>46753</v>
      </c>
      <c r="T11" s="82">
        <f t="shared" si="0"/>
        <v>46784</v>
      </c>
      <c r="U11" s="82">
        <f t="shared" si="0"/>
        <v>46813</v>
      </c>
      <c r="V11" s="82">
        <f t="shared" si="0"/>
        <v>46844</v>
      </c>
      <c r="W11" s="82">
        <f t="shared" si="0"/>
        <v>46874</v>
      </c>
      <c r="X11" s="82">
        <f t="shared" si="0"/>
        <v>46905</v>
      </c>
      <c r="Y11" s="82">
        <f t="shared" si="0"/>
        <v>46935</v>
      </c>
      <c r="Z11" s="82">
        <f t="shared" si="0"/>
        <v>46966</v>
      </c>
      <c r="AA11" s="82">
        <f t="shared" si="0"/>
        <v>46997</v>
      </c>
      <c r="AB11" s="82">
        <f t="shared" si="0"/>
        <v>47027</v>
      </c>
      <c r="AC11" s="82">
        <f t="shared" si="0"/>
        <v>47058</v>
      </c>
      <c r="AD11" s="82">
        <f t="shared" si="0"/>
        <v>47088</v>
      </c>
      <c r="AE11" s="82">
        <f t="shared" si="0"/>
        <v>47119</v>
      </c>
      <c r="AF11" s="82">
        <f t="shared" si="0"/>
        <v>47150</v>
      </c>
      <c r="AG11" s="82">
        <f t="shared" si="0"/>
        <v>47178</v>
      </c>
      <c r="AH11" s="82">
        <f t="shared" si="0"/>
        <v>47209</v>
      </c>
      <c r="AI11" s="82">
        <f t="shared" si="0"/>
        <v>47239</v>
      </c>
      <c r="AJ11" s="82">
        <f t="shared" si="0"/>
        <v>47270</v>
      </c>
      <c r="AK11" s="82">
        <f t="shared" si="0"/>
        <v>47300</v>
      </c>
      <c r="AL11" s="82">
        <f t="shared" si="0"/>
        <v>47331</v>
      </c>
    </row>
    <row r="12" spans="2:38">
      <c r="B12" s="68" t="str">
        <f>'Precios y costes'!B11</f>
        <v>AgroPlaga App Base / PlagaScan gratuito</v>
      </c>
      <c r="C12" s="68">
        <v>50</v>
      </c>
      <c r="D12" s="68">
        <v>60</v>
      </c>
      <c r="E12" s="68">
        <v>70</v>
      </c>
      <c r="F12" s="68">
        <v>80</v>
      </c>
      <c r="G12" s="68">
        <v>90</v>
      </c>
      <c r="H12" s="68">
        <v>100</v>
      </c>
      <c r="I12" s="68">
        <v>110</v>
      </c>
      <c r="J12" s="68">
        <v>120</v>
      </c>
      <c r="K12" s="68">
        <v>130</v>
      </c>
      <c r="L12" s="68">
        <v>120</v>
      </c>
      <c r="M12" s="68">
        <v>50</v>
      </c>
      <c r="N12" s="68">
        <v>20</v>
      </c>
      <c r="O12" s="68">
        <v>150</v>
      </c>
      <c r="P12" s="68">
        <v>170</v>
      </c>
      <c r="Q12" s="68">
        <v>190</v>
      </c>
      <c r="R12" s="68">
        <v>220</v>
      </c>
      <c r="S12" s="68">
        <v>250</v>
      </c>
      <c r="T12" s="68">
        <v>270</v>
      </c>
      <c r="U12" s="68">
        <v>290</v>
      </c>
      <c r="V12" s="68">
        <v>310</v>
      </c>
      <c r="W12" s="68">
        <v>320</v>
      </c>
      <c r="X12" s="68">
        <v>310</v>
      </c>
      <c r="Y12" s="68">
        <v>300</v>
      </c>
      <c r="Z12" s="68">
        <v>220</v>
      </c>
      <c r="AA12" s="68">
        <v>300</v>
      </c>
      <c r="AB12" s="68">
        <v>350</v>
      </c>
      <c r="AC12" s="68">
        <v>400</v>
      </c>
      <c r="AD12" s="68">
        <v>450</v>
      </c>
      <c r="AE12" s="68">
        <v>500</v>
      </c>
      <c r="AF12" s="68">
        <v>550</v>
      </c>
      <c r="AG12" s="68">
        <v>600</v>
      </c>
      <c r="AH12" s="68">
        <v>650</v>
      </c>
      <c r="AI12" s="68">
        <v>700</v>
      </c>
      <c r="AJ12" s="68">
        <v>750</v>
      </c>
      <c r="AK12" s="68">
        <v>450</v>
      </c>
      <c r="AL12" s="68">
        <v>300</v>
      </c>
    </row>
    <row r="13" spans="2:38">
      <c r="B13" s="68" t="str">
        <f>'Precios y costes'!B12</f>
        <v>AgroPlaga Premium / PlagaHub</v>
      </c>
      <c r="C13" s="68">
        <v>0</v>
      </c>
      <c r="D13" s="68">
        <v>2</v>
      </c>
      <c r="E13" s="68">
        <v>4</v>
      </c>
      <c r="F13" s="68">
        <v>8</v>
      </c>
      <c r="G13" s="68">
        <v>12</v>
      </c>
      <c r="H13" s="68">
        <v>16</v>
      </c>
      <c r="I13" s="68">
        <v>18</v>
      </c>
      <c r="J13" s="68">
        <v>22</v>
      </c>
      <c r="K13" s="68">
        <v>28</v>
      </c>
      <c r="L13" s="68">
        <v>30</v>
      </c>
      <c r="M13" s="68">
        <v>25</v>
      </c>
      <c r="N13" s="68">
        <v>15</v>
      </c>
      <c r="O13" s="68">
        <v>10</v>
      </c>
      <c r="P13" s="68">
        <v>14</v>
      </c>
      <c r="Q13" s="68">
        <v>18</v>
      </c>
      <c r="R13" s="68">
        <v>24</v>
      </c>
      <c r="S13" s="68">
        <v>30</v>
      </c>
      <c r="T13" s="68">
        <v>36</v>
      </c>
      <c r="U13" s="68">
        <v>38</v>
      </c>
      <c r="V13" s="68">
        <v>42</v>
      </c>
      <c r="W13" s="68">
        <v>46</v>
      </c>
      <c r="X13" s="68">
        <v>40</v>
      </c>
      <c r="Y13" s="68">
        <v>33</v>
      </c>
      <c r="Z13" s="68">
        <v>19</v>
      </c>
      <c r="AA13" s="68">
        <v>35</v>
      </c>
      <c r="AB13" s="68">
        <v>44</v>
      </c>
      <c r="AC13" s="68">
        <v>53</v>
      </c>
      <c r="AD13" s="68">
        <v>64</v>
      </c>
      <c r="AE13" s="68">
        <v>75</v>
      </c>
      <c r="AF13" s="68">
        <v>86</v>
      </c>
      <c r="AG13" s="68">
        <v>88</v>
      </c>
      <c r="AH13" s="68">
        <v>97</v>
      </c>
      <c r="AI13" s="68">
        <v>96</v>
      </c>
      <c r="AJ13" s="68">
        <v>85</v>
      </c>
      <c r="AK13" s="68">
        <v>48</v>
      </c>
      <c r="AL13" s="68">
        <v>29</v>
      </c>
    </row>
    <row r="14" spans="2:38">
      <c r="B14" s="68" t="str">
        <f>'Precios y costes'!B13</f>
        <v>AgroClima IoT / Sensores y estación piloto</v>
      </c>
      <c r="C14" s="68">
        <v>0</v>
      </c>
      <c r="D14" s="68">
        <v>0</v>
      </c>
      <c r="E14" s="68">
        <v>1</v>
      </c>
      <c r="F14" s="68">
        <v>1</v>
      </c>
      <c r="G14" s="68">
        <v>2</v>
      </c>
      <c r="H14" s="68">
        <v>2</v>
      </c>
      <c r="I14" s="68">
        <v>3</v>
      </c>
      <c r="J14" s="68">
        <v>3</v>
      </c>
      <c r="K14" s="68">
        <v>4</v>
      </c>
      <c r="L14" s="68">
        <v>4</v>
      </c>
      <c r="M14" s="68">
        <v>3</v>
      </c>
      <c r="N14" s="68">
        <v>2</v>
      </c>
      <c r="O14" s="68">
        <v>1</v>
      </c>
      <c r="P14" s="68">
        <v>2</v>
      </c>
      <c r="Q14" s="68">
        <v>3</v>
      </c>
      <c r="R14" s="68">
        <v>4</v>
      </c>
      <c r="S14" s="68">
        <v>5</v>
      </c>
      <c r="T14" s="68">
        <v>5</v>
      </c>
      <c r="U14" s="68">
        <v>6</v>
      </c>
      <c r="V14" s="68">
        <v>6</v>
      </c>
      <c r="W14" s="68">
        <v>6</v>
      </c>
      <c r="X14" s="68">
        <v>6</v>
      </c>
      <c r="Y14" s="68">
        <v>4</v>
      </c>
      <c r="Z14" s="68">
        <v>2</v>
      </c>
      <c r="AA14" s="68">
        <v>5</v>
      </c>
      <c r="AB14" s="68">
        <v>6</v>
      </c>
      <c r="AC14" s="68">
        <v>8</v>
      </c>
      <c r="AD14" s="68">
        <v>9</v>
      </c>
      <c r="AE14" s="68">
        <v>11</v>
      </c>
      <c r="AF14" s="68">
        <v>11</v>
      </c>
      <c r="AG14" s="68">
        <v>12</v>
      </c>
      <c r="AH14" s="68">
        <v>11</v>
      </c>
      <c r="AI14" s="68">
        <v>10</v>
      </c>
      <c r="AJ14" s="68">
        <v>9</v>
      </c>
      <c r="AK14" s="68">
        <v>5</v>
      </c>
      <c r="AL14" s="68">
        <v>3</v>
      </c>
    </row>
    <row r="15" spans="2:38">
      <c r="B15" s="68" t="str">
        <f>'Precios y costes'!B14</f>
        <v>Módulo Técnico / Panel Perito</v>
      </c>
      <c r="C15" s="68">
        <v>0</v>
      </c>
      <c r="D15" s="68">
        <v>0</v>
      </c>
      <c r="E15" s="68">
        <v>0</v>
      </c>
      <c r="F15" s="68">
        <v>1</v>
      </c>
      <c r="G15" s="68">
        <v>2</v>
      </c>
      <c r="H15" s="68">
        <v>2</v>
      </c>
      <c r="I15" s="68">
        <v>2</v>
      </c>
      <c r="J15" s="68">
        <v>3</v>
      </c>
      <c r="K15" s="68">
        <v>3</v>
      </c>
      <c r="L15" s="68">
        <v>3</v>
      </c>
      <c r="M15" s="68">
        <v>2</v>
      </c>
      <c r="N15" s="68">
        <v>2</v>
      </c>
      <c r="O15" s="68">
        <v>1</v>
      </c>
      <c r="P15" s="68">
        <v>1</v>
      </c>
      <c r="Q15" s="68">
        <v>1</v>
      </c>
      <c r="R15" s="68">
        <v>3</v>
      </c>
      <c r="S15" s="68">
        <v>4</v>
      </c>
      <c r="T15" s="68">
        <v>4</v>
      </c>
      <c r="U15" s="68">
        <v>4</v>
      </c>
      <c r="V15" s="68">
        <v>4</v>
      </c>
      <c r="W15" s="68">
        <v>4</v>
      </c>
      <c r="X15" s="68">
        <v>4</v>
      </c>
      <c r="Y15" s="68">
        <v>3</v>
      </c>
      <c r="Z15" s="68">
        <v>2</v>
      </c>
      <c r="AA15" s="68">
        <v>3</v>
      </c>
      <c r="AB15" s="68">
        <v>4</v>
      </c>
      <c r="AC15" s="68">
        <v>4</v>
      </c>
      <c r="AD15" s="68">
        <v>7</v>
      </c>
      <c r="AE15" s="68">
        <v>8</v>
      </c>
      <c r="AF15" s="68">
        <v>8</v>
      </c>
      <c r="AG15" s="68">
        <v>8</v>
      </c>
      <c r="AH15" s="68">
        <v>8</v>
      </c>
      <c r="AI15" s="68">
        <v>7</v>
      </c>
      <c r="AJ15" s="68">
        <v>7</v>
      </c>
      <c r="AK15" s="68">
        <v>4</v>
      </c>
      <c r="AL15" s="68">
        <v>2</v>
      </c>
    </row>
    <row r="16" spans="2:38">
      <c r="B16" s="68" t="str">
        <f>'Precios y costes'!B15</f>
        <v>Enterprise Dashboard / NEXO Agro</v>
      </c>
      <c r="C16" s="68">
        <v>0</v>
      </c>
      <c r="D16" s="68">
        <v>0</v>
      </c>
      <c r="E16" s="68">
        <v>0</v>
      </c>
      <c r="F16" s="68">
        <v>0</v>
      </c>
      <c r="G16" s="68">
        <v>1</v>
      </c>
      <c r="H16" s="68">
        <v>0</v>
      </c>
      <c r="I16" s="68">
        <v>1</v>
      </c>
      <c r="J16" s="68">
        <v>1</v>
      </c>
      <c r="K16" s="68">
        <v>1</v>
      </c>
      <c r="L16" s="68">
        <v>1</v>
      </c>
      <c r="M16" s="68">
        <v>0</v>
      </c>
      <c r="N16" s="68">
        <v>1</v>
      </c>
      <c r="O16" s="68">
        <v>0</v>
      </c>
      <c r="P16" s="68">
        <v>1</v>
      </c>
      <c r="Q16" s="68">
        <v>0</v>
      </c>
      <c r="R16" s="68">
        <v>1</v>
      </c>
      <c r="S16" s="68">
        <v>2</v>
      </c>
      <c r="T16" s="68">
        <v>0</v>
      </c>
      <c r="U16" s="68">
        <v>2</v>
      </c>
      <c r="V16" s="68">
        <v>1</v>
      </c>
      <c r="W16" s="68">
        <v>2</v>
      </c>
      <c r="X16" s="68">
        <v>1</v>
      </c>
      <c r="Y16" s="68">
        <v>1</v>
      </c>
      <c r="Z16" s="68">
        <v>1</v>
      </c>
      <c r="AA16" s="68">
        <v>1</v>
      </c>
      <c r="AB16" s="68">
        <v>2</v>
      </c>
      <c r="AC16" s="68">
        <v>1</v>
      </c>
      <c r="AD16" s="68">
        <v>3</v>
      </c>
      <c r="AE16" s="68">
        <v>4</v>
      </c>
      <c r="AF16" s="68">
        <v>2</v>
      </c>
      <c r="AG16" s="68">
        <v>4</v>
      </c>
      <c r="AH16" s="68">
        <v>3</v>
      </c>
      <c r="AI16" s="68">
        <v>4</v>
      </c>
      <c r="AJ16" s="68">
        <v>3</v>
      </c>
      <c r="AK16" s="68">
        <v>2</v>
      </c>
      <c r="AL16" s="68">
        <v>1</v>
      </c>
    </row>
    <row r="17" spans="2:38">
      <c r="B17" s="108" t="s">
        <v>15</v>
      </c>
      <c r="C17" s="118">
        <f t="shared" ref="C17:AL17" si="1">SUM(C12:C16)</f>
        <v>50</v>
      </c>
      <c r="D17" s="118">
        <f t="shared" si="1"/>
        <v>62</v>
      </c>
      <c r="E17" s="118">
        <f t="shared" si="1"/>
        <v>75</v>
      </c>
      <c r="F17" s="118">
        <f t="shared" si="1"/>
        <v>90</v>
      </c>
      <c r="G17" s="118">
        <f t="shared" si="1"/>
        <v>107</v>
      </c>
      <c r="H17" s="118">
        <f t="shared" si="1"/>
        <v>120</v>
      </c>
      <c r="I17" s="118">
        <f t="shared" si="1"/>
        <v>134</v>
      </c>
      <c r="J17" s="118">
        <f t="shared" si="1"/>
        <v>149</v>
      </c>
      <c r="K17" s="118">
        <f t="shared" si="1"/>
        <v>166</v>
      </c>
      <c r="L17" s="118">
        <f t="shared" si="1"/>
        <v>158</v>
      </c>
      <c r="M17" s="118">
        <f t="shared" si="1"/>
        <v>80</v>
      </c>
      <c r="N17" s="118">
        <f t="shared" si="1"/>
        <v>40</v>
      </c>
      <c r="O17" s="118">
        <f t="shared" si="1"/>
        <v>162</v>
      </c>
      <c r="P17" s="118">
        <f t="shared" si="1"/>
        <v>188</v>
      </c>
      <c r="Q17" s="118">
        <f t="shared" si="1"/>
        <v>212</v>
      </c>
      <c r="R17" s="118">
        <f t="shared" si="1"/>
        <v>252</v>
      </c>
      <c r="S17" s="118">
        <f t="shared" si="1"/>
        <v>291</v>
      </c>
      <c r="T17" s="118">
        <f t="shared" si="1"/>
        <v>315</v>
      </c>
      <c r="U17" s="118">
        <f t="shared" si="1"/>
        <v>340</v>
      </c>
      <c r="V17" s="118">
        <f t="shared" si="1"/>
        <v>363</v>
      </c>
      <c r="W17" s="118">
        <f t="shared" si="1"/>
        <v>378</v>
      </c>
      <c r="X17" s="118">
        <f t="shared" si="1"/>
        <v>361</v>
      </c>
      <c r="Y17" s="118">
        <f t="shared" si="1"/>
        <v>341</v>
      </c>
      <c r="Z17" s="118">
        <f t="shared" si="1"/>
        <v>244</v>
      </c>
      <c r="AA17" s="118">
        <f t="shared" si="1"/>
        <v>344</v>
      </c>
      <c r="AB17" s="118">
        <f t="shared" si="1"/>
        <v>406</v>
      </c>
      <c r="AC17" s="118">
        <f t="shared" si="1"/>
        <v>466</v>
      </c>
      <c r="AD17" s="118">
        <f t="shared" si="1"/>
        <v>533</v>
      </c>
      <c r="AE17" s="118">
        <f t="shared" si="1"/>
        <v>598</v>
      </c>
      <c r="AF17" s="118">
        <f t="shared" si="1"/>
        <v>657</v>
      </c>
      <c r="AG17" s="118">
        <f t="shared" si="1"/>
        <v>712</v>
      </c>
      <c r="AH17" s="118">
        <f t="shared" si="1"/>
        <v>769</v>
      </c>
      <c r="AI17" s="118">
        <f t="shared" si="1"/>
        <v>817</v>
      </c>
      <c r="AJ17" s="118">
        <f t="shared" si="1"/>
        <v>854</v>
      </c>
      <c r="AK17" s="118">
        <f t="shared" si="1"/>
        <v>509</v>
      </c>
      <c r="AL17" s="118">
        <f t="shared" si="1"/>
        <v>335</v>
      </c>
    </row>
    <row r="20" spans="2:38">
      <c r="B20" s="64" t="s">
        <v>175</v>
      </c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</row>
    <row r="21" spans="2:38">
      <c r="B21" s="47" t="s">
        <v>6</v>
      </c>
      <c r="C21" s="66" t="s">
        <v>16</v>
      </c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</row>
    <row r="22" spans="2:38">
      <c r="B22" s="47"/>
      <c r="C22" s="48" t="s">
        <v>17</v>
      </c>
      <c r="D22" s="48" t="s">
        <v>18</v>
      </c>
      <c r="E22" s="48" t="s">
        <v>19</v>
      </c>
      <c r="F22" s="48" t="s">
        <v>20</v>
      </c>
      <c r="G22" s="48" t="s">
        <v>21</v>
      </c>
      <c r="H22" s="48" t="s">
        <v>22</v>
      </c>
      <c r="I22" s="48" t="s">
        <v>23</v>
      </c>
      <c r="J22" s="48" t="s">
        <v>24</v>
      </c>
      <c r="K22" s="48" t="s">
        <v>25</v>
      </c>
      <c r="L22" s="48" t="s">
        <v>26</v>
      </c>
      <c r="M22" s="48" t="s">
        <v>27</v>
      </c>
      <c r="N22" s="48" t="s">
        <v>28</v>
      </c>
      <c r="O22" s="48" t="s">
        <v>133</v>
      </c>
      <c r="P22" s="48" t="s">
        <v>134</v>
      </c>
      <c r="Q22" s="48" t="s">
        <v>135</v>
      </c>
      <c r="R22" s="48" t="s">
        <v>136</v>
      </c>
      <c r="S22" s="48" t="s">
        <v>137</v>
      </c>
      <c r="T22" s="48" t="s">
        <v>138</v>
      </c>
      <c r="U22" s="48" t="s">
        <v>139</v>
      </c>
      <c r="V22" s="48" t="s">
        <v>140</v>
      </c>
      <c r="W22" s="48" t="s">
        <v>141</v>
      </c>
      <c r="X22" s="48" t="s">
        <v>142</v>
      </c>
      <c r="Y22" s="48" t="s">
        <v>143</v>
      </c>
      <c r="Z22" s="48" t="s">
        <v>144</v>
      </c>
      <c r="AA22" s="48" t="s">
        <v>145</v>
      </c>
      <c r="AB22" s="48" t="s">
        <v>146</v>
      </c>
      <c r="AC22" s="48" t="s">
        <v>147</v>
      </c>
      <c r="AD22" s="48" t="s">
        <v>148</v>
      </c>
      <c r="AE22" s="48" t="s">
        <v>149</v>
      </c>
      <c r="AF22" s="48" t="s">
        <v>150</v>
      </c>
      <c r="AG22" s="48" t="s">
        <v>151</v>
      </c>
      <c r="AH22" s="48" t="s">
        <v>152</v>
      </c>
      <c r="AI22" s="48" t="s">
        <v>153</v>
      </c>
      <c r="AJ22" s="48" t="s">
        <v>154</v>
      </c>
      <c r="AK22" s="48" t="s">
        <v>155</v>
      </c>
      <c r="AL22" s="48" t="s">
        <v>156</v>
      </c>
    </row>
    <row r="23" spans="2:38">
      <c r="B23" s="47" t="s">
        <v>132</v>
      </c>
      <c r="C23" s="82">
        <f t="shared" ref="C23:AL23" si="2">C11</f>
        <v>46266</v>
      </c>
      <c r="D23" s="82">
        <f t="shared" si="2"/>
        <v>46296</v>
      </c>
      <c r="E23" s="82">
        <f t="shared" si="2"/>
        <v>46327</v>
      </c>
      <c r="F23" s="82">
        <f t="shared" si="2"/>
        <v>46357</v>
      </c>
      <c r="G23" s="82">
        <f t="shared" si="2"/>
        <v>46388</v>
      </c>
      <c r="H23" s="82">
        <f t="shared" si="2"/>
        <v>46419</v>
      </c>
      <c r="I23" s="82">
        <f t="shared" si="2"/>
        <v>46447</v>
      </c>
      <c r="J23" s="82">
        <f t="shared" si="2"/>
        <v>46478</v>
      </c>
      <c r="K23" s="82">
        <f t="shared" si="2"/>
        <v>46508</v>
      </c>
      <c r="L23" s="82">
        <f t="shared" si="2"/>
        <v>46539</v>
      </c>
      <c r="M23" s="82">
        <f t="shared" si="2"/>
        <v>46569</v>
      </c>
      <c r="N23" s="82">
        <f t="shared" si="2"/>
        <v>46600</v>
      </c>
      <c r="O23" s="82">
        <f t="shared" si="2"/>
        <v>46631</v>
      </c>
      <c r="P23" s="82">
        <f t="shared" si="2"/>
        <v>46661</v>
      </c>
      <c r="Q23" s="82">
        <f t="shared" si="2"/>
        <v>46692</v>
      </c>
      <c r="R23" s="82">
        <f t="shared" si="2"/>
        <v>46722</v>
      </c>
      <c r="S23" s="82">
        <f t="shared" si="2"/>
        <v>46753</v>
      </c>
      <c r="T23" s="82">
        <f t="shared" si="2"/>
        <v>46784</v>
      </c>
      <c r="U23" s="82">
        <f t="shared" si="2"/>
        <v>46813</v>
      </c>
      <c r="V23" s="82">
        <f t="shared" si="2"/>
        <v>46844</v>
      </c>
      <c r="W23" s="82">
        <f t="shared" si="2"/>
        <v>46874</v>
      </c>
      <c r="X23" s="82">
        <f t="shared" si="2"/>
        <v>46905</v>
      </c>
      <c r="Y23" s="82">
        <f t="shared" si="2"/>
        <v>46935</v>
      </c>
      <c r="Z23" s="82">
        <f t="shared" si="2"/>
        <v>46966</v>
      </c>
      <c r="AA23" s="82">
        <f t="shared" si="2"/>
        <v>46997</v>
      </c>
      <c r="AB23" s="82">
        <f t="shared" si="2"/>
        <v>47027</v>
      </c>
      <c r="AC23" s="82">
        <f t="shared" si="2"/>
        <v>47058</v>
      </c>
      <c r="AD23" s="82">
        <f t="shared" si="2"/>
        <v>47088</v>
      </c>
      <c r="AE23" s="82">
        <f t="shared" si="2"/>
        <v>47119</v>
      </c>
      <c r="AF23" s="82">
        <f t="shared" si="2"/>
        <v>47150</v>
      </c>
      <c r="AG23" s="82">
        <f t="shared" si="2"/>
        <v>47178</v>
      </c>
      <c r="AH23" s="82">
        <f t="shared" si="2"/>
        <v>47209</v>
      </c>
      <c r="AI23" s="82">
        <f t="shared" si="2"/>
        <v>47239</v>
      </c>
      <c r="AJ23" s="82">
        <f t="shared" si="2"/>
        <v>47270</v>
      </c>
      <c r="AK23" s="82">
        <f t="shared" si="2"/>
        <v>47300</v>
      </c>
      <c r="AL23" s="82">
        <f t="shared" si="2"/>
        <v>47331</v>
      </c>
    </row>
    <row r="24" spans="2:38">
      <c r="B24" s="68" t="str">
        <f>B12</f>
        <v>AgroPlaga App Base / PlagaScan gratuito</v>
      </c>
      <c r="C24" s="152">
        <f>C12*'Precios y costes'!$D11</f>
        <v>0</v>
      </c>
      <c r="D24" s="152">
        <f>D12*'Precios y costes'!$D11</f>
        <v>0</v>
      </c>
      <c r="E24" s="152">
        <f>E12*'Precios y costes'!$D11</f>
        <v>0</v>
      </c>
      <c r="F24" s="152">
        <f>F12*'Precios y costes'!$D11</f>
        <v>0</v>
      </c>
      <c r="G24" s="152">
        <f>G12*'Precios y costes'!$D11</f>
        <v>0</v>
      </c>
      <c r="H24" s="152">
        <f>H12*'Precios y costes'!$D11</f>
        <v>0</v>
      </c>
      <c r="I24" s="152">
        <f>I12*'Precios y costes'!$D11</f>
        <v>0</v>
      </c>
      <c r="J24" s="152">
        <f>J12*'Precios y costes'!$D11</f>
        <v>0</v>
      </c>
      <c r="K24" s="152">
        <f>K12*'Precios y costes'!$D11</f>
        <v>0</v>
      </c>
      <c r="L24" s="152">
        <f>L12*'Precios y costes'!$D11</f>
        <v>0</v>
      </c>
      <c r="M24" s="152">
        <f>M12*'Precios y costes'!$D11</f>
        <v>0</v>
      </c>
      <c r="N24" s="152">
        <f>N12*'Precios y costes'!$D11</f>
        <v>0</v>
      </c>
      <c r="O24" s="152">
        <f>O12*'Precios y costes'!$D11</f>
        <v>0</v>
      </c>
      <c r="P24" s="152">
        <f>P12*'Precios y costes'!$D11</f>
        <v>0</v>
      </c>
      <c r="Q24" s="152">
        <f>Q12*'Precios y costes'!$D11</f>
        <v>0</v>
      </c>
      <c r="R24" s="152">
        <f>R12*'Precios y costes'!$D11</f>
        <v>0</v>
      </c>
      <c r="S24" s="152">
        <f>S12*'Precios y costes'!$D11</f>
        <v>0</v>
      </c>
      <c r="T24" s="152">
        <f>T12*'Precios y costes'!$D11</f>
        <v>0</v>
      </c>
      <c r="U24" s="152">
        <f>U12*'Precios y costes'!$D11</f>
        <v>0</v>
      </c>
      <c r="V24" s="152">
        <f>V12*'Precios y costes'!$D11</f>
        <v>0</v>
      </c>
      <c r="W24" s="152">
        <f>W12*'Precios y costes'!$D11</f>
        <v>0</v>
      </c>
      <c r="X24" s="152">
        <f>X12*'Precios y costes'!$D11</f>
        <v>0</v>
      </c>
      <c r="Y24" s="152">
        <f>Y12*'Precios y costes'!$D11</f>
        <v>0</v>
      </c>
      <c r="Z24" s="152">
        <f>Z12*'Precios y costes'!$D11</f>
        <v>0</v>
      </c>
      <c r="AA24" s="152">
        <f>AA12*'Precios y costes'!$D11</f>
        <v>0</v>
      </c>
      <c r="AB24" s="152">
        <f>AB12*'Precios y costes'!$D11</f>
        <v>0</v>
      </c>
      <c r="AC24" s="152">
        <f>AC12*'Precios y costes'!$D11</f>
        <v>0</v>
      </c>
      <c r="AD24" s="152">
        <f>AD12*'Precios y costes'!$D11</f>
        <v>0</v>
      </c>
      <c r="AE24" s="152">
        <f>AE12*'Precios y costes'!$D11</f>
        <v>0</v>
      </c>
      <c r="AF24" s="152">
        <f>AF12*'Precios y costes'!$D11</f>
        <v>0</v>
      </c>
      <c r="AG24" s="152">
        <f>AG12*'Precios y costes'!$D11</f>
        <v>0</v>
      </c>
      <c r="AH24" s="152">
        <f>AH12*'Precios y costes'!$D11</f>
        <v>0</v>
      </c>
      <c r="AI24" s="152">
        <f>AI12*'Precios y costes'!$D11</f>
        <v>0</v>
      </c>
      <c r="AJ24" s="152">
        <f>AJ12*'Precios y costes'!$D11</f>
        <v>0</v>
      </c>
      <c r="AK24" s="152">
        <f>AK12*'Precios y costes'!$D11</f>
        <v>0</v>
      </c>
      <c r="AL24" s="152">
        <f>AL12*'Precios y costes'!$D11</f>
        <v>0</v>
      </c>
    </row>
    <row r="25" spans="2:38">
      <c r="B25" s="68" t="str">
        <f>B13</f>
        <v>AgroPlaga Premium / PlagaHub</v>
      </c>
      <c r="C25" s="152">
        <f>C13*'Precios y costes'!$D12</f>
        <v>0</v>
      </c>
      <c r="D25" s="152">
        <f>D13*'Precios y costes'!$D12</f>
        <v>240</v>
      </c>
      <c r="E25" s="152">
        <f>E13*'Precios y costes'!$D12</f>
        <v>480</v>
      </c>
      <c r="F25" s="152">
        <f>F13*'Precios y costes'!$D12</f>
        <v>960</v>
      </c>
      <c r="G25" s="152">
        <f>G13*'Precios y costes'!$D12</f>
        <v>1440</v>
      </c>
      <c r="H25" s="152">
        <f>H13*'Precios y costes'!$D12</f>
        <v>1920</v>
      </c>
      <c r="I25" s="152">
        <f>I13*'Precios y costes'!$D12</f>
        <v>2160</v>
      </c>
      <c r="J25" s="152">
        <f>J13*'Precios y costes'!$D12</f>
        <v>2640</v>
      </c>
      <c r="K25" s="152">
        <f>K13*'Precios y costes'!$D12</f>
        <v>3360</v>
      </c>
      <c r="L25" s="152">
        <f>L13*'Precios y costes'!$D12</f>
        <v>3600</v>
      </c>
      <c r="M25" s="152">
        <f>M13*'Precios y costes'!$D12</f>
        <v>3000</v>
      </c>
      <c r="N25" s="152">
        <f>N13*'Precios y costes'!$D12</f>
        <v>1800</v>
      </c>
      <c r="O25" s="152">
        <f>O13*'Precios y costes'!$D12</f>
        <v>1200</v>
      </c>
      <c r="P25" s="152">
        <f>P13*'Precios y costes'!$D12</f>
        <v>1680</v>
      </c>
      <c r="Q25" s="152">
        <f>Q13*'Precios y costes'!$D12</f>
        <v>2160</v>
      </c>
      <c r="R25" s="152">
        <f>R13*'Precios y costes'!$D12</f>
        <v>2880</v>
      </c>
      <c r="S25" s="152">
        <f>S13*'Precios y costes'!$D12</f>
        <v>3600</v>
      </c>
      <c r="T25" s="152">
        <f>T13*'Precios y costes'!$D12</f>
        <v>4320</v>
      </c>
      <c r="U25" s="152">
        <f>U13*'Precios y costes'!$D12</f>
        <v>4560</v>
      </c>
      <c r="V25" s="152">
        <f>V13*'Precios y costes'!$D12</f>
        <v>5040</v>
      </c>
      <c r="W25" s="152">
        <f>W13*'Precios y costes'!$D12</f>
        <v>5520</v>
      </c>
      <c r="X25" s="152">
        <f>X13*'Precios y costes'!$D12</f>
        <v>4800</v>
      </c>
      <c r="Y25" s="152">
        <f>Y13*'Precios y costes'!$D12</f>
        <v>3960</v>
      </c>
      <c r="Z25" s="152">
        <f>Z13*'Precios y costes'!$D12</f>
        <v>2280</v>
      </c>
      <c r="AA25" s="152">
        <f>AA13*'Precios y costes'!$D12</f>
        <v>4200</v>
      </c>
      <c r="AB25" s="152">
        <f>AB13*'Precios y costes'!$D12</f>
        <v>5280</v>
      </c>
      <c r="AC25" s="152">
        <f>AC13*'Precios y costes'!$D12</f>
        <v>6360</v>
      </c>
      <c r="AD25" s="152">
        <f>AD13*'Precios y costes'!$D12</f>
        <v>7680</v>
      </c>
      <c r="AE25" s="152">
        <f>AE13*'Precios y costes'!$D12</f>
        <v>9000</v>
      </c>
      <c r="AF25" s="152">
        <f>AF13*'Precios y costes'!$D12</f>
        <v>10320</v>
      </c>
      <c r="AG25" s="152">
        <f>AG13*'Precios y costes'!$D12</f>
        <v>10560</v>
      </c>
      <c r="AH25" s="152">
        <f>AH13*'Precios y costes'!$D12</f>
        <v>11640</v>
      </c>
      <c r="AI25" s="152">
        <f>AI13*'Precios y costes'!$D12</f>
        <v>11520</v>
      </c>
      <c r="AJ25" s="152">
        <f>AJ13*'Precios y costes'!$D12</f>
        <v>10200</v>
      </c>
      <c r="AK25" s="152">
        <f>AK13*'Precios y costes'!$D12</f>
        <v>5760</v>
      </c>
      <c r="AL25" s="152">
        <f>AL13*'Precios y costes'!$D12</f>
        <v>3480</v>
      </c>
    </row>
    <row r="26" spans="2:38">
      <c r="B26" s="68" t="str">
        <f>B14</f>
        <v>AgroClima IoT / Sensores y estación piloto</v>
      </c>
      <c r="C26" s="152">
        <f>C14*'Precios y costes'!$D13</f>
        <v>0</v>
      </c>
      <c r="D26" s="152">
        <f>D14*'Precios y costes'!$D13</f>
        <v>0</v>
      </c>
      <c r="E26" s="152">
        <f>E14*'Precios y costes'!$D13</f>
        <v>409</v>
      </c>
      <c r="F26" s="152">
        <f>F14*'Precios y costes'!$D13</f>
        <v>409</v>
      </c>
      <c r="G26" s="152">
        <f>G14*'Precios y costes'!$D13</f>
        <v>818</v>
      </c>
      <c r="H26" s="152">
        <f>H14*'Precios y costes'!$D13</f>
        <v>818</v>
      </c>
      <c r="I26" s="152">
        <f>I14*'Precios y costes'!$D13</f>
        <v>1227</v>
      </c>
      <c r="J26" s="152">
        <f>J14*'Precios y costes'!$D13</f>
        <v>1227</v>
      </c>
      <c r="K26" s="152">
        <f>K14*'Precios y costes'!$D13</f>
        <v>1636</v>
      </c>
      <c r="L26" s="152">
        <f>L14*'Precios y costes'!$D13</f>
        <v>1636</v>
      </c>
      <c r="M26" s="152">
        <f>M14*'Precios y costes'!$D13</f>
        <v>1227</v>
      </c>
      <c r="N26" s="152">
        <f>N14*'Precios y costes'!$D13</f>
        <v>818</v>
      </c>
      <c r="O26" s="152">
        <f>O14*'Precios y costes'!$D13</f>
        <v>409</v>
      </c>
      <c r="P26" s="152">
        <f>P14*'Precios y costes'!$D13</f>
        <v>818</v>
      </c>
      <c r="Q26" s="152">
        <f>Q14*'Precios y costes'!$D13</f>
        <v>1227</v>
      </c>
      <c r="R26" s="152">
        <f>R14*'Precios y costes'!$D13</f>
        <v>1636</v>
      </c>
      <c r="S26" s="152">
        <f>S14*'Precios y costes'!$D13</f>
        <v>2045</v>
      </c>
      <c r="T26" s="152">
        <f>T14*'Precios y costes'!$D13</f>
        <v>2045</v>
      </c>
      <c r="U26" s="152">
        <f>U14*'Precios y costes'!$D13</f>
        <v>2454</v>
      </c>
      <c r="V26" s="152">
        <f>V14*'Precios y costes'!$D13</f>
        <v>2454</v>
      </c>
      <c r="W26" s="152">
        <f>W14*'Precios y costes'!$D13</f>
        <v>2454</v>
      </c>
      <c r="X26" s="152">
        <f>X14*'Precios y costes'!$D13</f>
        <v>2454</v>
      </c>
      <c r="Y26" s="152">
        <f>Y14*'Precios y costes'!$D13</f>
        <v>1636</v>
      </c>
      <c r="Z26" s="152">
        <f>Z14*'Precios y costes'!$D13</f>
        <v>818</v>
      </c>
      <c r="AA26" s="152">
        <f>AA14*'Precios y costes'!$D13</f>
        <v>2045</v>
      </c>
      <c r="AB26" s="152">
        <f>AB14*'Precios y costes'!$D13</f>
        <v>2454</v>
      </c>
      <c r="AC26" s="152">
        <f>AC14*'Precios y costes'!$D13</f>
        <v>3272</v>
      </c>
      <c r="AD26" s="152">
        <f>AD14*'Precios y costes'!$D13</f>
        <v>3681</v>
      </c>
      <c r="AE26" s="152">
        <f>AE14*'Precios y costes'!$D13</f>
        <v>4499</v>
      </c>
      <c r="AF26" s="152">
        <f>AF14*'Precios y costes'!$D13</f>
        <v>4499</v>
      </c>
      <c r="AG26" s="152">
        <f>AG14*'Precios y costes'!$D13</f>
        <v>4908</v>
      </c>
      <c r="AH26" s="152">
        <f>AH14*'Precios y costes'!$D13</f>
        <v>4499</v>
      </c>
      <c r="AI26" s="152">
        <f>AI14*'Precios y costes'!$D13</f>
        <v>4090</v>
      </c>
      <c r="AJ26" s="152">
        <f>AJ14*'Precios y costes'!$D13</f>
        <v>3681</v>
      </c>
      <c r="AK26" s="152">
        <f>AK14*'Precios y costes'!$D13</f>
        <v>2045</v>
      </c>
      <c r="AL26" s="152">
        <f>AL14*'Precios y costes'!$D13</f>
        <v>1227</v>
      </c>
    </row>
    <row r="27" spans="2:38">
      <c r="B27" s="68" t="str">
        <f>B15</f>
        <v>Módulo Técnico / Panel Perito</v>
      </c>
      <c r="C27" s="152">
        <f>C15*'Precios y costes'!$D14</f>
        <v>0</v>
      </c>
      <c r="D27" s="152">
        <f>D15*'Precios y costes'!$D14</f>
        <v>0</v>
      </c>
      <c r="E27" s="152">
        <f>E15*'Precios y costes'!$D14</f>
        <v>0</v>
      </c>
      <c r="F27" s="152">
        <f>F15*'Precios y costes'!$D14</f>
        <v>468</v>
      </c>
      <c r="G27" s="152">
        <f>G15*'Precios y costes'!$D14</f>
        <v>936</v>
      </c>
      <c r="H27" s="152">
        <f>H15*'Precios y costes'!$D14</f>
        <v>936</v>
      </c>
      <c r="I27" s="152">
        <f>I15*'Precios y costes'!$D14</f>
        <v>936</v>
      </c>
      <c r="J27" s="152">
        <f>J15*'Precios y costes'!$D14</f>
        <v>1404</v>
      </c>
      <c r="K27" s="152">
        <f>K15*'Precios y costes'!$D14</f>
        <v>1404</v>
      </c>
      <c r="L27" s="152">
        <f>L15*'Precios y costes'!$D14</f>
        <v>1404</v>
      </c>
      <c r="M27" s="152">
        <f>M15*'Precios y costes'!$D14</f>
        <v>936</v>
      </c>
      <c r="N27" s="152">
        <f>N15*'Precios y costes'!$D14</f>
        <v>936</v>
      </c>
      <c r="O27" s="152">
        <f>O15*'Precios y costes'!$D14</f>
        <v>468</v>
      </c>
      <c r="P27" s="152">
        <f>P15*'Precios y costes'!$D14</f>
        <v>468</v>
      </c>
      <c r="Q27" s="152">
        <f>Q15*'Precios y costes'!$D14</f>
        <v>468</v>
      </c>
      <c r="R27" s="152">
        <f>R15*'Precios y costes'!$D14</f>
        <v>1404</v>
      </c>
      <c r="S27" s="152">
        <f>S15*'Precios y costes'!$D14</f>
        <v>1872</v>
      </c>
      <c r="T27" s="152">
        <f>T15*'Precios y costes'!$D14</f>
        <v>1872</v>
      </c>
      <c r="U27" s="152">
        <f>U15*'Precios y costes'!$D14</f>
        <v>1872</v>
      </c>
      <c r="V27" s="152">
        <f>V15*'Precios y costes'!$D14</f>
        <v>1872</v>
      </c>
      <c r="W27" s="152">
        <f>W15*'Precios y costes'!$D14</f>
        <v>1872</v>
      </c>
      <c r="X27" s="152">
        <f>X15*'Precios y costes'!$D14</f>
        <v>1872</v>
      </c>
      <c r="Y27" s="152">
        <f>Y15*'Precios y costes'!$D14</f>
        <v>1404</v>
      </c>
      <c r="Z27" s="152">
        <f>Z15*'Precios y costes'!$D14</f>
        <v>936</v>
      </c>
      <c r="AA27" s="152">
        <f>AA15*'Precios y costes'!$D14</f>
        <v>1404</v>
      </c>
      <c r="AB27" s="152">
        <f>AB15*'Precios y costes'!$D14</f>
        <v>1872</v>
      </c>
      <c r="AC27" s="152">
        <f>AC15*'Precios y costes'!$D14</f>
        <v>1872</v>
      </c>
      <c r="AD27" s="152">
        <f>AD15*'Precios y costes'!$D14</f>
        <v>3276</v>
      </c>
      <c r="AE27" s="152">
        <f>AE15*'Precios y costes'!$D14</f>
        <v>3744</v>
      </c>
      <c r="AF27" s="152">
        <f>AF15*'Precios y costes'!$D14</f>
        <v>3744</v>
      </c>
      <c r="AG27" s="152">
        <f>AG15*'Precios y costes'!$D14</f>
        <v>3744</v>
      </c>
      <c r="AH27" s="152">
        <f>AH15*'Precios y costes'!$D14</f>
        <v>3744</v>
      </c>
      <c r="AI27" s="152">
        <f>AI15*'Precios y costes'!$D14</f>
        <v>3276</v>
      </c>
      <c r="AJ27" s="152">
        <f>AJ15*'Precios y costes'!$D14</f>
        <v>3276</v>
      </c>
      <c r="AK27" s="152">
        <f>AK15*'Precios y costes'!$D14</f>
        <v>1872</v>
      </c>
      <c r="AL27" s="152">
        <f>AL15*'Precios y costes'!$D14</f>
        <v>936</v>
      </c>
    </row>
    <row r="28" spans="2:38">
      <c r="B28" s="68" t="str">
        <f>B16</f>
        <v>Enterprise Dashboard / NEXO Agro</v>
      </c>
      <c r="C28" s="152">
        <f>C16*'Precios y costes'!$D15</f>
        <v>0</v>
      </c>
      <c r="D28" s="152">
        <f>D16*'Precios y costes'!$D15</f>
        <v>0</v>
      </c>
      <c r="E28" s="152">
        <f>E16*'Precios y costes'!$D15</f>
        <v>0</v>
      </c>
      <c r="F28" s="152">
        <f>F16*'Precios y costes'!$D15</f>
        <v>0</v>
      </c>
      <c r="G28" s="152">
        <f>G16*'Precios y costes'!$D15</f>
        <v>2988</v>
      </c>
      <c r="H28" s="152">
        <f>H16*'Precios y costes'!$D15</f>
        <v>0</v>
      </c>
      <c r="I28" s="152">
        <f>I16*'Precios y costes'!$D15</f>
        <v>2988</v>
      </c>
      <c r="J28" s="152">
        <f>J16*'Precios y costes'!$D15</f>
        <v>2988</v>
      </c>
      <c r="K28" s="152">
        <f>K16*'Precios y costes'!$D15</f>
        <v>2988</v>
      </c>
      <c r="L28" s="152">
        <f>L16*'Precios y costes'!$D15</f>
        <v>2988</v>
      </c>
      <c r="M28" s="152">
        <f>M16*'Precios y costes'!$D15</f>
        <v>0</v>
      </c>
      <c r="N28" s="152">
        <f>N16*'Precios y costes'!$D15</f>
        <v>2988</v>
      </c>
      <c r="O28" s="152">
        <f>O16*'Precios y costes'!$D15</f>
        <v>0</v>
      </c>
      <c r="P28" s="152">
        <f>P16*'Precios y costes'!$D15</f>
        <v>2988</v>
      </c>
      <c r="Q28" s="152">
        <f>Q16*'Precios y costes'!$D15</f>
        <v>0</v>
      </c>
      <c r="R28" s="152">
        <f>R16*'Precios y costes'!$D15</f>
        <v>2988</v>
      </c>
      <c r="S28" s="152">
        <f>S16*'Precios y costes'!$D15</f>
        <v>5976</v>
      </c>
      <c r="T28" s="152">
        <f>T16*'Precios y costes'!$D15</f>
        <v>0</v>
      </c>
      <c r="U28" s="152">
        <f>U16*'Precios y costes'!$D15</f>
        <v>5976</v>
      </c>
      <c r="V28" s="152">
        <f>V16*'Precios y costes'!$D15</f>
        <v>2988</v>
      </c>
      <c r="W28" s="152">
        <f>W16*'Precios y costes'!$D15</f>
        <v>5976</v>
      </c>
      <c r="X28" s="152">
        <f>X16*'Precios y costes'!$D15</f>
        <v>2988</v>
      </c>
      <c r="Y28" s="152">
        <f>Y16*'Precios y costes'!$D15</f>
        <v>2988</v>
      </c>
      <c r="Z28" s="152">
        <f>Z16*'Precios y costes'!$D15</f>
        <v>2988</v>
      </c>
      <c r="AA28" s="152">
        <f>AA16*'Precios y costes'!$D15</f>
        <v>2988</v>
      </c>
      <c r="AB28" s="152">
        <f>AB16*'Precios y costes'!$D15</f>
        <v>5976</v>
      </c>
      <c r="AC28" s="152">
        <f>AC16*'Precios y costes'!$D15</f>
        <v>2988</v>
      </c>
      <c r="AD28" s="152">
        <f>AD16*'Precios y costes'!$D15</f>
        <v>8964</v>
      </c>
      <c r="AE28" s="152">
        <f>AE16*'Precios y costes'!$D15</f>
        <v>11952</v>
      </c>
      <c r="AF28" s="152">
        <f>AF16*'Precios y costes'!$D15</f>
        <v>5976</v>
      </c>
      <c r="AG28" s="152">
        <f>AG16*'Precios y costes'!$D15</f>
        <v>11952</v>
      </c>
      <c r="AH28" s="152">
        <f>AH16*'Precios y costes'!$D15</f>
        <v>8964</v>
      </c>
      <c r="AI28" s="152">
        <f>AI16*'Precios y costes'!$D15</f>
        <v>11952</v>
      </c>
      <c r="AJ28" s="152">
        <f>AJ16*'Precios y costes'!$D15</f>
        <v>8964</v>
      </c>
      <c r="AK28" s="152">
        <f>AK16*'Precios y costes'!$D15</f>
        <v>5976</v>
      </c>
      <c r="AL28" s="152">
        <f>AL16*'Precios y costes'!$D15</f>
        <v>2988</v>
      </c>
    </row>
    <row r="29" spans="2:38">
      <c r="B29" s="50" t="s">
        <v>177</v>
      </c>
      <c r="C29" s="153">
        <f t="shared" ref="C29:AL29" si="3">SUM(C24:C28)</f>
        <v>0</v>
      </c>
      <c r="D29" s="153">
        <f t="shared" si="3"/>
        <v>240</v>
      </c>
      <c r="E29" s="153">
        <f t="shared" si="3"/>
        <v>889</v>
      </c>
      <c r="F29" s="153">
        <f t="shared" si="3"/>
        <v>1837</v>
      </c>
      <c r="G29" s="153">
        <f t="shared" si="3"/>
        <v>6182</v>
      </c>
      <c r="H29" s="153">
        <f t="shared" si="3"/>
        <v>3674</v>
      </c>
      <c r="I29" s="153">
        <f t="shared" si="3"/>
        <v>7311</v>
      </c>
      <c r="J29" s="153">
        <f t="shared" si="3"/>
        <v>8259</v>
      </c>
      <c r="K29" s="153">
        <f t="shared" si="3"/>
        <v>9388</v>
      </c>
      <c r="L29" s="153">
        <f t="shared" si="3"/>
        <v>9628</v>
      </c>
      <c r="M29" s="153">
        <f t="shared" si="3"/>
        <v>5163</v>
      </c>
      <c r="N29" s="153">
        <f t="shared" si="3"/>
        <v>6542</v>
      </c>
      <c r="O29" s="153">
        <f t="shared" si="3"/>
        <v>2077</v>
      </c>
      <c r="P29" s="153">
        <f t="shared" si="3"/>
        <v>5954</v>
      </c>
      <c r="Q29" s="153">
        <f t="shared" si="3"/>
        <v>3855</v>
      </c>
      <c r="R29" s="153">
        <f t="shared" si="3"/>
        <v>8908</v>
      </c>
      <c r="S29" s="153">
        <f t="shared" si="3"/>
        <v>13493</v>
      </c>
      <c r="T29" s="153">
        <f t="shared" si="3"/>
        <v>8237</v>
      </c>
      <c r="U29" s="153">
        <f t="shared" si="3"/>
        <v>14862</v>
      </c>
      <c r="V29" s="153">
        <f t="shared" si="3"/>
        <v>12354</v>
      </c>
      <c r="W29" s="153">
        <f t="shared" si="3"/>
        <v>15822</v>
      </c>
      <c r="X29" s="153">
        <f t="shared" si="3"/>
        <v>12114</v>
      </c>
      <c r="Y29" s="153">
        <f t="shared" si="3"/>
        <v>9988</v>
      </c>
      <c r="Z29" s="153">
        <f t="shared" si="3"/>
        <v>7022</v>
      </c>
      <c r="AA29" s="153">
        <f t="shared" si="3"/>
        <v>10637</v>
      </c>
      <c r="AB29" s="153">
        <f t="shared" si="3"/>
        <v>15582</v>
      </c>
      <c r="AC29" s="153">
        <f t="shared" si="3"/>
        <v>14492</v>
      </c>
      <c r="AD29" s="153">
        <f t="shared" si="3"/>
        <v>23601</v>
      </c>
      <c r="AE29" s="153">
        <f t="shared" si="3"/>
        <v>29195</v>
      </c>
      <c r="AF29" s="153">
        <f t="shared" si="3"/>
        <v>24539</v>
      </c>
      <c r="AG29" s="153">
        <f t="shared" si="3"/>
        <v>31164</v>
      </c>
      <c r="AH29" s="153">
        <f t="shared" si="3"/>
        <v>28847</v>
      </c>
      <c r="AI29" s="153">
        <f t="shared" si="3"/>
        <v>30838</v>
      </c>
      <c r="AJ29" s="153">
        <f t="shared" si="3"/>
        <v>26121</v>
      </c>
      <c r="AK29" s="153">
        <f t="shared" si="3"/>
        <v>15653</v>
      </c>
      <c r="AL29" s="153">
        <f t="shared" si="3"/>
        <v>8631</v>
      </c>
    </row>
    <row r="30" spans="2:38">
      <c r="B30" s="50" t="s">
        <v>176</v>
      </c>
      <c r="C30" s="153">
        <f>C29*1.1</f>
        <v>0</v>
      </c>
      <c r="D30" s="153">
        <f>D29*1.21</f>
        <v>290.39999999999998</v>
      </c>
      <c r="E30" s="153">
        <f t="shared" ref="E30:AL30" si="4">E29*1.21</f>
        <v>1075.69</v>
      </c>
      <c r="F30" s="153">
        <f t="shared" si="4"/>
        <v>2222.77</v>
      </c>
      <c r="G30" s="153">
        <f t="shared" si="4"/>
        <v>7480.2199999999993</v>
      </c>
      <c r="H30" s="153">
        <f t="shared" si="4"/>
        <v>4445.54</v>
      </c>
      <c r="I30" s="153">
        <f t="shared" si="4"/>
        <v>8846.31</v>
      </c>
      <c r="J30" s="153">
        <f t="shared" si="4"/>
        <v>9993.39</v>
      </c>
      <c r="K30" s="153">
        <f t="shared" si="4"/>
        <v>11359.48</v>
      </c>
      <c r="L30" s="153">
        <f t="shared" si="4"/>
        <v>11649.88</v>
      </c>
      <c r="M30" s="153">
        <f t="shared" si="4"/>
        <v>6247.23</v>
      </c>
      <c r="N30" s="153">
        <f t="shared" si="4"/>
        <v>7915.82</v>
      </c>
      <c r="O30" s="153">
        <f t="shared" si="4"/>
        <v>2513.17</v>
      </c>
      <c r="P30" s="153">
        <f t="shared" si="4"/>
        <v>7204.34</v>
      </c>
      <c r="Q30" s="153">
        <f t="shared" si="4"/>
        <v>4664.55</v>
      </c>
      <c r="R30" s="153">
        <f t="shared" si="4"/>
        <v>10778.68</v>
      </c>
      <c r="S30" s="153">
        <f t="shared" si="4"/>
        <v>16326.529999999999</v>
      </c>
      <c r="T30" s="153">
        <f t="shared" si="4"/>
        <v>9966.77</v>
      </c>
      <c r="U30" s="153">
        <f t="shared" si="4"/>
        <v>17983.02</v>
      </c>
      <c r="V30" s="153">
        <f t="shared" si="4"/>
        <v>14948.34</v>
      </c>
      <c r="W30" s="153">
        <f t="shared" si="4"/>
        <v>19144.62</v>
      </c>
      <c r="X30" s="153">
        <f t="shared" si="4"/>
        <v>14657.939999999999</v>
      </c>
      <c r="Y30" s="153">
        <f t="shared" si="4"/>
        <v>12085.48</v>
      </c>
      <c r="Z30" s="153">
        <f t="shared" si="4"/>
        <v>8496.619999999999</v>
      </c>
      <c r="AA30" s="153">
        <f t="shared" si="4"/>
        <v>12870.77</v>
      </c>
      <c r="AB30" s="153">
        <f t="shared" si="4"/>
        <v>18854.22</v>
      </c>
      <c r="AC30" s="153">
        <f t="shared" si="4"/>
        <v>17535.32</v>
      </c>
      <c r="AD30" s="153">
        <f t="shared" si="4"/>
        <v>28557.21</v>
      </c>
      <c r="AE30" s="153">
        <f t="shared" si="4"/>
        <v>35325.949999999997</v>
      </c>
      <c r="AF30" s="153">
        <f t="shared" si="4"/>
        <v>29692.19</v>
      </c>
      <c r="AG30" s="153">
        <f t="shared" si="4"/>
        <v>37708.44</v>
      </c>
      <c r="AH30" s="153">
        <f t="shared" si="4"/>
        <v>34904.869999999995</v>
      </c>
      <c r="AI30" s="153">
        <f t="shared" si="4"/>
        <v>37313.979999999996</v>
      </c>
      <c r="AJ30" s="153">
        <f t="shared" si="4"/>
        <v>31606.41</v>
      </c>
      <c r="AK30" s="153">
        <f t="shared" si="4"/>
        <v>18940.13</v>
      </c>
      <c r="AL30" s="153">
        <f t="shared" si="4"/>
        <v>10443.51</v>
      </c>
    </row>
  </sheetData>
  <phoneticPr fontId="26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E0BD-D1FA-44F5-A953-AD08B4428785}">
  <dimension ref="A7:AL28"/>
  <sheetViews>
    <sheetView zoomScale="120" zoomScaleNormal="120" workbookViewId="0">
      <selection activeCell="B8" sqref="B8:AL11"/>
    </sheetView>
  </sheetViews>
  <sheetFormatPr baseColWidth="10" defaultRowHeight="15" outlineLevelRow="1"/>
  <cols>
    <col min="2" max="2" width="43.7109375" bestFit="1" customWidth="1"/>
    <col min="3" max="38" width="12.140625" bestFit="1" customWidth="1"/>
  </cols>
  <sheetData>
    <row r="7" spans="1:38" ht="15.75" thickBot="1"/>
    <row r="8" spans="1:38">
      <c r="B8" s="100" t="s">
        <v>34</v>
      </c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2"/>
    </row>
    <row r="9" spans="1:38">
      <c r="B9" s="47" t="s">
        <v>6</v>
      </c>
      <c r="C9" s="66" t="s">
        <v>16</v>
      </c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103"/>
    </row>
    <row r="10" spans="1:38">
      <c r="B10" s="104"/>
      <c r="C10" s="48" t="s">
        <v>17</v>
      </c>
      <c r="D10" s="48" t="s">
        <v>18</v>
      </c>
      <c r="E10" s="48" t="s">
        <v>19</v>
      </c>
      <c r="F10" s="48" t="s">
        <v>20</v>
      </c>
      <c r="G10" s="48" t="s">
        <v>21</v>
      </c>
      <c r="H10" s="48" t="s">
        <v>22</v>
      </c>
      <c r="I10" s="48" t="s">
        <v>23</v>
      </c>
      <c r="J10" s="48" t="s">
        <v>24</v>
      </c>
      <c r="K10" s="48" t="s">
        <v>25</v>
      </c>
      <c r="L10" s="48" t="s">
        <v>26</v>
      </c>
      <c r="M10" s="48" t="s">
        <v>27</v>
      </c>
      <c r="N10" s="48" t="s">
        <v>28</v>
      </c>
      <c r="O10" s="48" t="s">
        <v>133</v>
      </c>
      <c r="P10" s="48" t="s">
        <v>134</v>
      </c>
      <c r="Q10" s="48" t="s">
        <v>135</v>
      </c>
      <c r="R10" s="48" t="s">
        <v>136</v>
      </c>
      <c r="S10" s="48" t="s">
        <v>137</v>
      </c>
      <c r="T10" s="48" t="s">
        <v>138</v>
      </c>
      <c r="U10" s="48" t="s">
        <v>139</v>
      </c>
      <c r="V10" s="48" t="s">
        <v>140</v>
      </c>
      <c r="W10" s="48" t="s">
        <v>141</v>
      </c>
      <c r="X10" s="48" t="s">
        <v>142</v>
      </c>
      <c r="Y10" s="48" t="s">
        <v>143</v>
      </c>
      <c r="Z10" s="48" t="s">
        <v>144</v>
      </c>
      <c r="AA10" s="48" t="s">
        <v>145</v>
      </c>
      <c r="AB10" s="48" t="s">
        <v>146</v>
      </c>
      <c r="AC10" s="48" t="s">
        <v>147</v>
      </c>
      <c r="AD10" s="48" t="s">
        <v>148</v>
      </c>
      <c r="AE10" s="48" t="s">
        <v>149</v>
      </c>
      <c r="AF10" s="48" t="s">
        <v>150</v>
      </c>
      <c r="AG10" s="48" t="s">
        <v>151</v>
      </c>
      <c r="AH10" s="48" t="s">
        <v>152</v>
      </c>
      <c r="AI10" s="48" t="s">
        <v>153</v>
      </c>
      <c r="AJ10" s="48" t="s">
        <v>154</v>
      </c>
      <c r="AK10" s="48" t="s">
        <v>155</v>
      </c>
      <c r="AL10" s="49" t="s">
        <v>156</v>
      </c>
    </row>
    <row r="11" spans="1:38">
      <c r="B11" s="104"/>
      <c r="C11" s="105">
        <f>Ventas!C11</f>
        <v>46266</v>
      </c>
      <c r="D11" s="105">
        <f>Ventas!D11</f>
        <v>46296</v>
      </c>
      <c r="E11" s="105">
        <f>Ventas!E11</f>
        <v>46327</v>
      </c>
      <c r="F11" s="105">
        <f>Ventas!F11</f>
        <v>46357</v>
      </c>
      <c r="G11" s="105">
        <f>Ventas!G11</f>
        <v>46388</v>
      </c>
      <c r="H11" s="105">
        <f>Ventas!H11</f>
        <v>46419</v>
      </c>
      <c r="I11" s="105">
        <f>Ventas!I11</f>
        <v>46447</v>
      </c>
      <c r="J11" s="105">
        <f>Ventas!J11</f>
        <v>46478</v>
      </c>
      <c r="K11" s="105">
        <f>Ventas!K11</f>
        <v>46508</v>
      </c>
      <c r="L11" s="105">
        <f>Ventas!L11</f>
        <v>46539</v>
      </c>
      <c r="M11" s="105">
        <f>Ventas!M11</f>
        <v>46569</v>
      </c>
      <c r="N11" s="105">
        <f>Ventas!N11</f>
        <v>46600</v>
      </c>
      <c r="O11" s="105">
        <f>Ventas!O11</f>
        <v>46631</v>
      </c>
      <c r="P11" s="105">
        <f>Ventas!P11</f>
        <v>46661</v>
      </c>
      <c r="Q11" s="105">
        <f>Ventas!Q11</f>
        <v>46692</v>
      </c>
      <c r="R11" s="105">
        <f>Ventas!R11</f>
        <v>46722</v>
      </c>
      <c r="S11" s="105">
        <f>Ventas!S11</f>
        <v>46753</v>
      </c>
      <c r="T11" s="105">
        <f>Ventas!T11</f>
        <v>46784</v>
      </c>
      <c r="U11" s="105">
        <f>Ventas!U11</f>
        <v>46813</v>
      </c>
      <c r="V11" s="105">
        <f>Ventas!V11</f>
        <v>46844</v>
      </c>
      <c r="W11" s="105">
        <f>Ventas!W11</f>
        <v>46874</v>
      </c>
      <c r="X11" s="105">
        <f>Ventas!X11</f>
        <v>46905</v>
      </c>
      <c r="Y11" s="105">
        <f>Ventas!Y11</f>
        <v>46935</v>
      </c>
      <c r="Z11" s="105">
        <f>Ventas!Z11</f>
        <v>46966</v>
      </c>
      <c r="AA11" s="105">
        <f>Ventas!AA11</f>
        <v>46997</v>
      </c>
      <c r="AB11" s="105">
        <f>Ventas!AB11</f>
        <v>47027</v>
      </c>
      <c r="AC11" s="105">
        <f>Ventas!AC11</f>
        <v>47058</v>
      </c>
      <c r="AD11" s="105">
        <f>Ventas!AD11</f>
        <v>47088</v>
      </c>
      <c r="AE11" s="105">
        <f>Ventas!AE11</f>
        <v>47119</v>
      </c>
      <c r="AF11" s="105">
        <f>Ventas!AF11</f>
        <v>47150</v>
      </c>
      <c r="AG11" s="105">
        <f>Ventas!AG11</f>
        <v>47178</v>
      </c>
      <c r="AH11" s="105">
        <f>Ventas!AH11</f>
        <v>47209</v>
      </c>
      <c r="AI11" s="105">
        <f>Ventas!AI11</f>
        <v>47239</v>
      </c>
      <c r="AJ11" s="105">
        <f>Ventas!AJ11</f>
        <v>47270</v>
      </c>
      <c r="AK11" s="105">
        <f>Ventas!AK11</f>
        <v>47300</v>
      </c>
      <c r="AL11" s="105">
        <f>Ventas!AL11</f>
        <v>47331</v>
      </c>
    </row>
    <row r="12" spans="1:38" outlineLevel="1">
      <c r="A12" s="109"/>
      <c r="B12" s="120" t="str">
        <f>Ventas!B12</f>
        <v>AgroPlaga App Base / PlagaScan gratuito</v>
      </c>
      <c r="C12" s="119">
        <f>Ventas!C12*'Precios y costes'!$E11</f>
        <v>0</v>
      </c>
      <c r="D12" s="119">
        <f>Ventas!D12*'Precios y costes'!$E11</f>
        <v>0</v>
      </c>
      <c r="E12" s="119">
        <f>Ventas!E12*'Precios y costes'!$E11</f>
        <v>0</v>
      </c>
      <c r="F12" s="119">
        <f>Ventas!F12*'Precios y costes'!$E11</f>
        <v>0</v>
      </c>
      <c r="G12" s="119">
        <f>Ventas!G12*'Precios y costes'!$E11</f>
        <v>0</v>
      </c>
      <c r="H12" s="119">
        <f>Ventas!H12*'Precios y costes'!$E11</f>
        <v>0</v>
      </c>
      <c r="I12" s="119">
        <f>Ventas!I12*'Precios y costes'!$E11</f>
        <v>0</v>
      </c>
      <c r="J12" s="119">
        <f>Ventas!J12*'Precios y costes'!$E11</f>
        <v>0</v>
      </c>
      <c r="K12" s="119">
        <f>Ventas!K12*'Precios y costes'!$E11</f>
        <v>0</v>
      </c>
      <c r="L12" s="119">
        <f>Ventas!L12*'Precios y costes'!$E11</f>
        <v>0</v>
      </c>
      <c r="M12" s="119">
        <f>Ventas!M12*'Precios y costes'!$E11</f>
        <v>0</v>
      </c>
      <c r="N12" s="119">
        <f>Ventas!N12*'Precios y costes'!$E11</f>
        <v>0</v>
      </c>
      <c r="O12" s="119">
        <f>Ventas!O12*'Precios y costes'!$E11</f>
        <v>0</v>
      </c>
      <c r="P12" s="119">
        <f>Ventas!P12*'Precios y costes'!$E11</f>
        <v>0</v>
      </c>
      <c r="Q12" s="119">
        <f>Ventas!Q12*'Precios y costes'!$E11</f>
        <v>0</v>
      </c>
      <c r="R12" s="119">
        <f>Ventas!R12*'Precios y costes'!$E11</f>
        <v>0</v>
      </c>
      <c r="S12" s="119">
        <f>Ventas!S12*'Precios y costes'!$E11</f>
        <v>0</v>
      </c>
      <c r="T12" s="119">
        <f>Ventas!T12*'Precios y costes'!$E11</f>
        <v>0</v>
      </c>
      <c r="U12" s="119">
        <f>Ventas!U12*'Precios y costes'!$E11</f>
        <v>0</v>
      </c>
      <c r="V12" s="119">
        <f>Ventas!V12*'Precios y costes'!$E11</f>
        <v>0</v>
      </c>
      <c r="W12" s="119">
        <f>Ventas!W12*'Precios y costes'!$E11</f>
        <v>0</v>
      </c>
      <c r="X12" s="119">
        <f>Ventas!X12*'Precios y costes'!$E11</f>
        <v>0</v>
      </c>
      <c r="Y12" s="119">
        <f>Ventas!Y12*'Precios y costes'!$E11</f>
        <v>0</v>
      </c>
      <c r="Z12" s="119">
        <f>Ventas!Z12*'Precios y costes'!$E11</f>
        <v>0</v>
      </c>
      <c r="AA12" s="119">
        <f>Ventas!AA12*'Precios y costes'!$E11</f>
        <v>0</v>
      </c>
      <c r="AB12" s="119">
        <f>Ventas!AB12*'Precios y costes'!$E11</f>
        <v>0</v>
      </c>
      <c r="AC12" s="119">
        <f>Ventas!AC12*'Precios y costes'!$E11</f>
        <v>0</v>
      </c>
      <c r="AD12" s="119">
        <f>Ventas!AD12*'Precios y costes'!$E11</f>
        <v>0</v>
      </c>
      <c r="AE12" s="119">
        <f>Ventas!AE12*'Precios y costes'!$E11</f>
        <v>0</v>
      </c>
      <c r="AF12" s="119">
        <f>Ventas!AF12*'Precios y costes'!$E11</f>
        <v>0</v>
      </c>
      <c r="AG12" s="119">
        <f>Ventas!AG12*'Precios y costes'!$E11</f>
        <v>0</v>
      </c>
      <c r="AH12" s="119">
        <f>Ventas!AH12*'Precios y costes'!$E11</f>
        <v>0</v>
      </c>
      <c r="AI12" s="119">
        <f>Ventas!AI12*'Precios y costes'!$E11</f>
        <v>0</v>
      </c>
      <c r="AJ12" s="119">
        <f>Ventas!AJ12*'Precios y costes'!$E11</f>
        <v>0</v>
      </c>
      <c r="AK12" s="119">
        <f>Ventas!AK12*'Precios y costes'!$E11</f>
        <v>0</v>
      </c>
      <c r="AL12" s="119">
        <f>Ventas!AL12*'Precios y costes'!$E11</f>
        <v>0</v>
      </c>
    </row>
    <row r="13" spans="1:38" outlineLevel="1">
      <c r="A13" s="109"/>
      <c r="B13" s="120" t="str">
        <f>Ventas!B13</f>
        <v>AgroPlaga Premium / PlagaHub</v>
      </c>
      <c r="C13" s="119">
        <f>Ventas!C13*'Precios y costes'!$E12</f>
        <v>0</v>
      </c>
      <c r="D13" s="119">
        <f>Ventas!D13*'Precios y costes'!$E12</f>
        <v>60</v>
      </c>
      <c r="E13" s="119">
        <f>Ventas!E13*'Precios y costes'!$E12</f>
        <v>120</v>
      </c>
      <c r="F13" s="119">
        <f>Ventas!F13*'Precios y costes'!$E12</f>
        <v>240</v>
      </c>
      <c r="G13" s="119">
        <f>Ventas!G13*'Precios y costes'!$E12</f>
        <v>360</v>
      </c>
      <c r="H13" s="119">
        <f>Ventas!H13*'Precios y costes'!$E12</f>
        <v>480</v>
      </c>
      <c r="I13" s="119">
        <f>Ventas!I13*'Precios y costes'!$E12</f>
        <v>540</v>
      </c>
      <c r="J13" s="119">
        <f>Ventas!J13*'Precios y costes'!$E12</f>
        <v>660</v>
      </c>
      <c r="K13" s="119">
        <f>Ventas!K13*'Precios y costes'!$E12</f>
        <v>840</v>
      </c>
      <c r="L13" s="119">
        <f>Ventas!L13*'Precios y costes'!$E12</f>
        <v>900</v>
      </c>
      <c r="M13" s="119">
        <f>Ventas!M13*'Precios y costes'!$E12</f>
        <v>750</v>
      </c>
      <c r="N13" s="119">
        <f>Ventas!N13*'Precios y costes'!$E12</f>
        <v>450</v>
      </c>
      <c r="O13" s="119">
        <f>Ventas!O13*'Precios y costes'!$E12</f>
        <v>300</v>
      </c>
      <c r="P13" s="119">
        <f>Ventas!P13*'Precios y costes'!$E12</f>
        <v>420</v>
      </c>
      <c r="Q13" s="119">
        <f>Ventas!Q13*'Precios y costes'!$E12</f>
        <v>540</v>
      </c>
      <c r="R13" s="119">
        <f>Ventas!R13*'Precios y costes'!$E12</f>
        <v>720</v>
      </c>
      <c r="S13" s="119">
        <f>Ventas!S13*'Precios y costes'!$E12</f>
        <v>900</v>
      </c>
      <c r="T13" s="119">
        <f>Ventas!T13*'Precios y costes'!$E12</f>
        <v>1080</v>
      </c>
      <c r="U13" s="119">
        <f>Ventas!U13*'Precios y costes'!$E12</f>
        <v>1140</v>
      </c>
      <c r="V13" s="119">
        <f>Ventas!V13*'Precios y costes'!$E12</f>
        <v>1260</v>
      </c>
      <c r="W13" s="119">
        <f>Ventas!W13*'Precios y costes'!$E12</f>
        <v>1380</v>
      </c>
      <c r="X13" s="119">
        <f>Ventas!X13*'Precios y costes'!$E12</f>
        <v>1200</v>
      </c>
      <c r="Y13" s="119">
        <f>Ventas!Y13*'Precios y costes'!$E12</f>
        <v>990</v>
      </c>
      <c r="Z13" s="119">
        <f>Ventas!Z13*'Precios y costes'!$E12</f>
        <v>570</v>
      </c>
      <c r="AA13" s="119">
        <f>Ventas!AA13*'Precios y costes'!$E12</f>
        <v>1050</v>
      </c>
      <c r="AB13" s="119">
        <f>Ventas!AB13*'Precios y costes'!$E12</f>
        <v>1320</v>
      </c>
      <c r="AC13" s="119">
        <f>Ventas!AC13*'Precios y costes'!$E12</f>
        <v>1590</v>
      </c>
      <c r="AD13" s="119">
        <f>Ventas!AD13*'Precios y costes'!$E12</f>
        <v>1920</v>
      </c>
      <c r="AE13" s="119">
        <f>Ventas!AE13*'Precios y costes'!$E12</f>
        <v>2250</v>
      </c>
      <c r="AF13" s="119">
        <f>Ventas!AF13*'Precios y costes'!$E12</f>
        <v>2580</v>
      </c>
      <c r="AG13" s="119">
        <f>Ventas!AG13*'Precios y costes'!$E12</f>
        <v>2640</v>
      </c>
      <c r="AH13" s="119">
        <f>Ventas!AH13*'Precios y costes'!$E12</f>
        <v>2910</v>
      </c>
      <c r="AI13" s="119">
        <f>Ventas!AI13*'Precios y costes'!$E12</f>
        <v>2880</v>
      </c>
      <c r="AJ13" s="119">
        <f>Ventas!AJ13*'Precios y costes'!$E12</f>
        <v>2550</v>
      </c>
      <c r="AK13" s="119">
        <f>Ventas!AK13*'Precios y costes'!$E12</f>
        <v>1440</v>
      </c>
      <c r="AL13" s="119">
        <f>Ventas!AL13*'Precios y costes'!$E12</f>
        <v>870</v>
      </c>
    </row>
    <row r="14" spans="1:38" outlineLevel="1">
      <c r="A14" s="109"/>
      <c r="B14" s="120" t="str">
        <f>Ventas!B14</f>
        <v>AgroClima IoT / Sensores y estación piloto</v>
      </c>
      <c r="C14" s="119">
        <f>Ventas!C14*'Precios y costes'!$E13</f>
        <v>0</v>
      </c>
      <c r="D14" s="119">
        <f>Ventas!D14*'Precios y costes'!$E13</f>
        <v>0</v>
      </c>
      <c r="E14" s="119">
        <f>Ventas!E14*'Precios y costes'!$E13</f>
        <v>285</v>
      </c>
      <c r="F14" s="119">
        <f>Ventas!F14*'Precios y costes'!$E13</f>
        <v>285</v>
      </c>
      <c r="G14" s="119">
        <f>Ventas!G14*'Precios y costes'!$E13</f>
        <v>570</v>
      </c>
      <c r="H14" s="119">
        <f>Ventas!H14*'Precios y costes'!$E13</f>
        <v>570</v>
      </c>
      <c r="I14" s="119">
        <f>Ventas!I14*'Precios y costes'!$E13</f>
        <v>855</v>
      </c>
      <c r="J14" s="119">
        <f>Ventas!J14*'Precios y costes'!$E13</f>
        <v>855</v>
      </c>
      <c r="K14" s="119">
        <f>Ventas!K14*'Precios y costes'!$E13</f>
        <v>1140</v>
      </c>
      <c r="L14" s="119">
        <f>Ventas!L14*'Precios y costes'!$E13</f>
        <v>1140</v>
      </c>
      <c r="M14" s="119">
        <f>Ventas!M14*'Precios y costes'!$E13</f>
        <v>855</v>
      </c>
      <c r="N14" s="119">
        <f>Ventas!N14*'Precios y costes'!$E13</f>
        <v>570</v>
      </c>
      <c r="O14" s="119">
        <f>Ventas!O14*'Precios y costes'!$E13</f>
        <v>285</v>
      </c>
      <c r="P14" s="119">
        <f>Ventas!P14*'Precios y costes'!$E13</f>
        <v>570</v>
      </c>
      <c r="Q14" s="119">
        <f>Ventas!Q14*'Precios y costes'!$E13</f>
        <v>855</v>
      </c>
      <c r="R14" s="119">
        <f>Ventas!R14*'Precios y costes'!$E13</f>
        <v>1140</v>
      </c>
      <c r="S14" s="119">
        <f>Ventas!S14*'Precios y costes'!$E13</f>
        <v>1425</v>
      </c>
      <c r="T14" s="119">
        <f>Ventas!T14*'Precios y costes'!$E13</f>
        <v>1425</v>
      </c>
      <c r="U14" s="119">
        <f>Ventas!U14*'Precios y costes'!$E13</f>
        <v>1710</v>
      </c>
      <c r="V14" s="119">
        <f>Ventas!V14*'Precios y costes'!$E13</f>
        <v>1710</v>
      </c>
      <c r="W14" s="119">
        <f>Ventas!W14*'Precios y costes'!$E13</f>
        <v>1710</v>
      </c>
      <c r="X14" s="119">
        <f>Ventas!X14*'Precios y costes'!$E13</f>
        <v>1710</v>
      </c>
      <c r="Y14" s="119">
        <f>Ventas!Y14*'Precios y costes'!$E13</f>
        <v>1140</v>
      </c>
      <c r="Z14" s="119">
        <f>Ventas!Z14*'Precios y costes'!$E13</f>
        <v>570</v>
      </c>
      <c r="AA14" s="119">
        <f>Ventas!AA14*'Precios y costes'!$E13</f>
        <v>1425</v>
      </c>
      <c r="AB14" s="119">
        <f>Ventas!AB14*'Precios y costes'!$E13</f>
        <v>1710</v>
      </c>
      <c r="AC14" s="119">
        <f>Ventas!AC14*'Precios y costes'!$E13</f>
        <v>2280</v>
      </c>
      <c r="AD14" s="119">
        <f>Ventas!AD14*'Precios y costes'!$E13</f>
        <v>2565</v>
      </c>
      <c r="AE14" s="119">
        <f>Ventas!AE14*'Precios y costes'!$E13</f>
        <v>3135</v>
      </c>
      <c r="AF14" s="119">
        <f>Ventas!AF14*'Precios y costes'!$E13</f>
        <v>3135</v>
      </c>
      <c r="AG14" s="119">
        <f>Ventas!AG14*'Precios y costes'!$E13</f>
        <v>3420</v>
      </c>
      <c r="AH14" s="119">
        <f>Ventas!AH14*'Precios y costes'!$E13</f>
        <v>3135</v>
      </c>
      <c r="AI14" s="119">
        <f>Ventas!AI14*'Precios y costes'!$E13</f>
        <v>2850</v>
      </c>
      <c r="AJ14" s="119">
        <f>Ventas!AJ14*'Precios y costes'!$E13</f>
        <v>2565</v>
      </c>
      <c r="AK14" s="119">
        <f>Ventas!AK14*'Precios y costes'!$E13</f>
        <v>1425</v>
      </c>
      <c r="AL14" s="119">
        <f>Ventas!AL14*'Precios y costes'!$E13</f>
        <v>855</v>
      </c>
    </row>
    <row r="15" spans="1:38" outlineLevel="1">
      <c r="A15" s="109"/>
      <c r="B15" s="120" t="str">
        <f>Ventas!B15</f>
        <v>Módulo Técnico / Panel Perito</v>
      </c>
      <c r="C15" s="119">
        <f>Ventas!C15*'Precios y costes'!$E14</f>
        <v>0</v>
      </c>
      <c r="D15" s="119">
        <f>Ventas!D15*'Precios y costes'!$E14</f>
        <v>0</v>
      </c>
      <c r="E15" s="119">
        <f>Ventas!E15*'Precios y costes'!$E14</f>
        <v>0</v>
      </c>
      <c r="F15" s="119">
        <f>Ventas!F15*'Precios y costes'!$E14</f>
        <v>96</v>
      </c>
      <c r="G15" s="119">
        <f>Ventas!G15*'Precios y costes'!$E14</f>
        <v>192</v>
      </c>
      <c r="H15" s="119">
        <f>Ventas!H15*'Precios y costes'!$E14</f>
        <v>192</v>
      </c>
      <c r="I15" s="119">
        <f>Ventas!I15*'Precios y costes'!$E14</f>
        <v>192</v>
      </c>
      <c r="J15" s="119">
        <f>Ventas!J15*'Precios y costes'!$E14</f>
        <v>288</v>
      </c>
      <c r="K15" s="119">
        <f>Ventas!K15*'Precios y costes'!$E14</f>
        <v>288</v>
      </c>
      <c r="L15" s="119">
        <f>Ventas!L15*'Precios y costes'!$E14</f>
        <v>288</v>
      </c>
      <c r="M15" s="119">
        <f>Ventas!M15*'Precios y costes'!$E14</f>
        <v>192</v>
      </c>
      <c r="N15" s="119">
        <f>Ventas!N15*'Precios y costes'!$E14</f>
        <v>192</v>
      </c>
      <c r="O15" s="119">
        <f>Ventas!O15*'Precios y costes'!$E14</f>
        <v>96</v>
      </c>
      <c r="P15" s="119">
        <f>Ventas!P15*'Precios y costes'!$E14</f>
        <v>96</v>
      </c>
      <c r="Q15" s="119">
        <f>Ventas!Q15*'Precios y costes'!$E14</f>
        <v>96</v>
      </c>
      <c r="R15" s="119">
        <f>Ventas!R15*'Precios y costes'!$E14</f>
        <v>288</v>
      </c>
      <c r="S15" s="119">
        <f>Ventas!S15*'Precios y costes'!$E14</f>
        <v>384</v>
      </c>
      <c r="T15" s="119">
        <f>Ventas!T15*'Precios y costes'!$E14</f>
        <v>384</v>
      </c>
      <c r="U15" s="119">
        <f>Ventas!U15*'Precios y costes'!$E14</f>
        <v>384</v>
      </c>
      <c r="V15" s="119">
        <f>Ventas!V15*'Precios y costes'!$E14</f>
        <v>384</v>
      </c>
      <c r="W15" s="119">
        <f>Ventas!W15*'Precios y costes'!$E14</f>
        <v>384</v>
      </c>
      <c r="X15" s="119">
        <f>Ventas!X15*'Precios y costes'!$E14</f>
        <v>384</v>
      </c>
      <c r="Y15" s="119">
        <f>Ventas!Y15*'Precios y costes'!$E14</f>
        <v>288</v>
      </c>
      <c r="Z15" s="119">
        <f>Ventas!Z15*'Precios y costes'!$E14</f>
        <v>192</v>
      </c>
      <c r="AA15" s="119">
        <f>Ventas!AA15*'Precios y costes'!$E14</f>
        <v>288</v>
      </c>
      <c r="AB15" s="119">
        <f>Ventas!AB15*'Precios y costes'!$E14</f>
        <v>384</v>
      </c>
      <c r="AC15" s="119">
        <f>Ventas!AC15*'Precios y costes'!$E14</f>
        <v>384</v>
      </c>
      <c r="AD15" s="119">
        <f>Ventas!AD15*'Precios y costes'!$E14</f>
        <v>672</v>
      </c>
      <c r="AE15" s="119">
        <f>Ventas!AE15*'Precios y costes'!$E14</f>
        <v>768</v>
      </c>
      <c r="AF15" s="119">
        <f>Ventas!AF15*'Precios y costes'!$E14</f>
        <v>768</v>
      </c>
      <c r="AG15" s="119">
        <f>Ventas!AG15*'Precios y costes'!$E14</f>
        <v>768</v>
      </c>
      <c r="AH15" s="119">
        <f>Ventas!AH15*'Precios y costes'!$E14</f>
        <v>768</v>
      </c>
      <c r="AI15" s="119">
        <f>Ventas!AI15*'Precios y costes'!$E14</f>
        <v>672</v>
      </c>
      <c r="AJ15" s="119">
        <f>Ventas!AJ15*'Precios y costes'!$E14</f>
        <v>672</v>
      </c>
      <c r="AK15" s="119">
        <f>Ventas!AK15*'Precios y costes'!$E14</f>
        <v>384</v>
      </c>
      <c r="AL15" s="119">
        <f>Ventas!AL15*'Precios y costes'!$E14</f>
        <v>192</v>
      </c>
    </row>
    <row r="16" spans="1:38" outlineLevel="1">
      <c r="A16" s="109"/>
      <c r="B16" s="120" t="str">
        <f>Ventas!B16</f>
        <v>Enterprise Dashboard / NEXO Agro</v>
      </c>
      <c r="C16" s="119">
        <f>Ventas!C16*'Precios y costes'!$E15</f>
        <v>0</v>
      </c>
      <c r="D16" s="119">
        <f>Ventas!D16*'Precios y costes'!$E15</f>
        <v>0</v>
      </c>
      <c r="E16" s="119">
        <f>Ventas!E16*'Precios y costes'!$E15</f>
        <v>0</v>
      </c>
      <c r="F16" s="119">
        <f>Ventas!F16*'Precios y costes'!$E15</f>
        <v>0</v>
      </c>
      <c r="G16" s="119">
        <f>Ventas!G16*'Precios y costes'!$E15</f>
        <v>840</v>
      </c>
      <c r="H16" s="119">
        <f>Ventas!H16*'Precios y costes'!$E15</f>
        <v>0</v>
      </c>
      <c r="I16" s="119">
        <f>Ventas!I16*'Precios y costes'!$E15</f>
        <v>840</v>
      </c>
      <c r="J16" s="119">
        <f>Ventas!J16*'Precios y costes'!$E15</f>
        <v>840</v>
      </c>
      <c r="K16" s="119">
        <f>Ventas!K16*'Precios y costes'!$E15</f>
        <v>840</v>
      </c>
      <c r="L16" s="119">
        <f>Ventas!L16*'Precios y costes'!$E15</f>
        <v>840</v>
      </c>
      <c r="M16" s="119">
        <f>Ventas!M16*'Precios y costes'!$E15</f>
        <v>0</v>
      </c>
      <c r="N16" s="119">
        <f>Ventas!N16*'Precios y costes'!$E15</f>
        <v>840</v>
      </c>
      <c r="O16" s="119">
        <f>Ventas!O16*'Precios y costes'!$E15</f>
        <v>0</v>
      </c>
      <c r="P16" s="119">
        <f>Ventas!P16*'Precios y costes'!$E15</f>
        <v>840</v>
      </c>
      <c r="Q16" s="119">
        <f>Ventas!Q16*'Precios y costes'!$E15</f>
        <v>0</v>
      </c>
      <c r="R16" s="119">
        <f>Ventas!R16*'Precios y costes'!$E15</f>
        <v>840</v>
      </c>
      <c r="S16" s="119">
        <f>Ventas!S16*'Precios y costes'!$E15</f>
        <v>1680</v>
      </c>
      <c r="T16" s="119">
        <f>Ventas!T16*'Precios y costes'!$E15</f>
        <v>0</v>
      </c>
      <c r="U16" s="119">
        <f>Ventas!U16*'Precios y costes'!$E15</f>
        <v>1680</v>
      </c>
      <c r="V16" s="119">
        <f>Ventas!V16*'Precios y costes'!$E15</f>
        <v>840</v>
      </c>
      <c r="W16" s="119">
        <f>Ventas!W16*'Precios y costes'!$E15</f>
        <v>1680</v>
      </c>
      <c r="X16" s="119">
        <f>Ventas!X16*'Precios y costes'!$E15</f>
        <v>840</v>
      </c>
      <c r="Y16" s="119">
        <f>Ventas!Y16*'Precios y costes'!$E15</f>
        <v>840</v>
      </c>
      <c r="Z16" s="119">
        <f>Ventas!Z16*'Precios y costes'!$E15</f>
        <v>840</v>
      </c>
      <c r="AA16" s="119">
        <f>Ventas!AA16*'Precios y costes'!$E15</f>
        <v>840</v>
      </c>
      <c r="AB16" s="119">
        <f>Ventas!AB16*'Precios y costes'!$E15</f>
        <v>1680</v>
      </c>
      <c r="AC16" s="119">
        <f>Ventas!AC16*'Precios y costes'!$E15</f>
        <v>840</v>
      </c>
      <c r="AD16" s="119">
        <f>Ventas!AD16*'Precios y costes'!$E15</f>
        <v>2520</v>
      </c>
      <c r="AE16" s="119">
        <f>Ventas!AE16*'Precios y costes'!$E15</f>
        <v>3360</v>
      </c>
      <c r="AF16" s="119">
        <f>Ventas!AF16*'Precios y costes'!$E15</f>
        <v>1680</v>
      </c>
      <c r="AG16" s="119">
        <f>Ventas!AG16*'Precios y costes'!$E15</f>
        <v>3360</v>
      </c>
      <c r="AH16" s="119">
        <f>Ventas!AH16*'Precios y costes'!$E15</f>
        <v>2520</v>
      </c>
      <c r="AI16" s="119">
        <f>Ventas!AI16*'Precios y costes'!$E15</f>
        <v>3360</v>
      </c>
      <c r="AJ16" s="119">
        <f>Ventas!AJ16*'Precios y costes'!$E15</f>
        <v>2520</v>
      </c>
      <c r="AK16" s="119">
        <f>Ventas!AK16*'Precios y costes'!$E15</f>
        <v>1680</v>
      </c>
      <c r="AL16" s="119">
        <f>Ventas!AL16*'Precios y costes'!$E15</f>
        <v>840</v>
      </c>
    </row>
    <row r="17" spans="1:38">
      <c r="A17" s="109"/>
      <c r="B17" s="3" t="s">
        <v>168</v>
      </c>
      <c r="C17" s="81">
        <f t="shared" ref="C17:AL17" si="0">SUM(C12:C16)</f>
        <v>0</v>
      </c>
      <c r="D17" s="81">
        <f t="shared" si="0"/>
        <v>60</v>
      </c>
      <c r="E17" s="81">
        <f t="shared" si="0"/>
        <v>405</v>
      </c>
      <c r="F17" s="81">
        <f t="shared" si="0"/>
        <v>621</v>
      </c>
      <c r="G17" s="81">
        <f t="shared" si="0"/>
        <v>1962</v>
      </c>
      <c r="H17" s="81">
        <f t="shared" si="0"/>
        <v>1242</v>
      </c>
      <c r="I17" s="81">
        <f t="shared" si="0"/>
        <v>2427</v>
      </c>
      <c r="J17" s="81">
        <f t="shared" si="0"/>
        <v>2643</v>
      </c>
      <c r="K17" s="81">
        <f t="shared" si="0"/>
        <v>3108</v>
      </c>
      <c r="L17" s="81">
        <f t="shared" si="0"/>
        <v>3168</v>
      </c>
      <c r="M17" s="81">
        <f t="shared" si="0"/>
        <v>1797</v>
      </c>
      <c r="N17" s="81">
        <f t="shared" si="0"/>
        <v>2052</v>
      </c>
      <c r="O17" s="81">
        <f t="shared" si="0"/>
        <v>681</v>
      </c>
      <c r="P17" s="81">
        <f t="shared" si="0"/>
        <v>1926</v>
      </c>
      <c r="Q17" s="81">
        <f t="shared" si="0"/>
        <v>1491</v>
      </c>
      <c r="R17" s="81">
        <f t="shared" si="0"/>
        <v>2988</v>
      </c>
      <c r="S17" s="81">
        <f t="shared" si="0"/>
        <v>4389</v>
      </c>
      <c r="T17" s="81">
        <f t="shared" si="0"/>
        <v>2889</v>
      </c>
      <c r="U17" s="81">
        <f t="shared" si="0"/>
        <v>4914</v>
      </c>
      <c r="V17" s="81">
        <f t="shared" si="0"/>
        <v>4194</v>
      </c>
      <c r="W17" s="81">
        <f t="shared" si="0"/>
        <v>5154</v>
      </c>
      <c r="X17" s="81">
        <f t="shared" si="0"/>
        <v>4134</v>
      </c>
      <c r="Y17" s="81">
        <f t="shared" si="0"/>
        <v>3258</v>
      </c>
      <c r="Z17" s="81">
        <f t="shared" si="0"/>
        <v>2172</v>
      </c>
      <c r="AA17" s="81">
        <f t="shared" si="0"/>
        <v>3603</v>
      </c>
      <c r="AB17" s="81">
        <f t="shared" si="0"/>
        <v>5094</v>
      </c>
      <c r="AC17" s="81">
        <f t="shared" si="0"/>
        <v>5094</v>
      </c>
      <c r="AD17" s="81">
        <f t="shared" si="0"/>
        <v>7677</v>
      </c>
      <c r="AE17" s="81">
        <f t="shared" si="0"/>
        <v>9513</v>
      </c>
      <c r="AF17" s="81">
        <f t="shared" si="0"/>
        <v>8163</v>
      </c>
      <c r="AG17" s="81">
        <f t="shared" si="0"/>
        <v>10188</v>
      </c>
      <c r="AH17" s="81">
        <f t="shared" si="0"/>
        <v>9333</v>
      </c>
      <c r="AI17" s="81">
        <f t="shared" si="0"/>
        <v>9762</v>
      </c>
      <c r="AJ17" s="81">
        <f t="shared" si="0"/>
        <v>8307</v>
      </c>
      <c r="AK17" s="81">
        <f t="shared" si="0"/>
        <v>4929</v>
      </c>
      <c r="AL17" s="81">
        <f t="shared" si="0"/>
        <v>2757</v>
      </c>
    </row>
    <row r="18" spans="1:38">
      <c r="B18" s="3" t="s">
        <v>157</v>
      </c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4"/>
    </row>
    <row r="19" spans="1:38">
      <c r="B19" s="3" t="s">
        <v>48</v>
      </c>
      <c r="C19" s="152">
        <f>'Introducción de datos'!D32</f>
        <v>400</v>
      </c>
      <c r="D19" s="152">
        <f>C19</f>
        <v>400</v>
      </c>
      <c r="E19" s="152">
        <f t="shared" ref="E19:AL19" si="1">D19</f>
        <v>400</v>
      </c>
      <c r="F19" s="152">
        <f t="shared" si="1"/>
        <v>400</v>
      </c>
      <c r="G19" s="152">
        <f t="shared" si="1"/>
        <v>400</v>
      </c>
      <c r="H19" s="152">
        <f t="shared" si="1"/>
        <v>400</v>
      </c>
      <c r="I19" s="152">
        <f t="shared" si="1"/>
        <v>400</v>
      </c>
      <c r="J19" s="152">
        <f t="shared" si="1"/>
        <v>400</v>
      </c>
      <c r="K19" s="152">
        <f t="shared" si="1"/>
        <v>400</v>
      </c>
      <c r="L19" s="152">
        <f t="shared" si="1"/>
        <v>400</v>
      </c>
      <c r="M19" s="152">
        <f t="shared" si="1"/>
        <v>400</v>
      </c>
      <c r="N19" s="152">
        <f t="shared" si="1"/>
        <v>400</v>
      </c>
      <c r="O19" s="152">
        <f t="shared" si="1"/>
        <v>400</v>
      </c>
      <c r="P19" s="152">
        <f t="shared" si="1"/>
        <v>400</v>
      </c>
      <c r="Q19" s="152">
        <f t="shared" si="1"/>
        <v>400</v>
      </c>
      <c r="R19" s="152">
        <f t="shared" si="1"/>
        <v>400</v>
      </c>
      <c r="S19" s="152">
        <f t="shared" si="1"/>
        <v>400</v>
      </c>
      <c r="T19" s="152">
        <f t="shared" si="1"/>
        <v>400</v>
      </c>
      <c r="U19" s="152">
        <f t="shared" si="1"/>
        <v>400</v>
      </c>
      <c r="V19" s="152">
        <f t="shared" si="1"/>
        <v>400</v>
      </c>
      <c r="W19" s="152">
        <f t="shared" si="1"/>
        <v>400</v>
      </c>
      <c r="X19" s="152">
        <f t="shared" si="1"/>
        <v>400</v>
      </c>
      <c r="Y19" s="152">
        <f t="shared" si="1"/>
        <v>400</v>
      </c>
      <c r="Z19" s="152">
        <f t="shared" si="1"/>
        <v>400</v>
      </c>
      <c r="AA19" s="152">
        <f t="shared" si="1"/>
        <v>400</v>
      </c>
      <c r="AB19" s="152">
        <f t="shared" si="1"/>
        <v>400</v>
      </c>
      <c r="AC19" s="152">
        <f t="shared" si="1"/>
        <v>400</v>
      </c>
      <c r="AD19" s="152">
        <f t="shared" si="1"/>
        <v>400</v>
      </c>
      <c r="AE19" s="152">
        <f t="shared" si="1"/>
        <v>400</v>
      </c>
      <c r="AF19" s="152">
        <f t="shared" si="1"/>
        <v>400</v>
      </c>
      <c r="AG19" s="152">
        <f t="shared" si="1"/>
        <v>400</v>
      </c>
      <c r="AH19" s="152">
        <f t="shared" si="1"/>
        <v>400</v>
      </c>
      <c r="AI19" s="152">
        <f t="shared" si="1"/>
        <v>400</v>
      </c>
      <c r="AJ19" s="152">
        <f t="shared" si="1"/>
        <v>400</v>
      </c>
      <c r="AK19" s="152">
        <f t="shared" si="1"/>
        <v>400</v>
      </c>
      <c r="AL19" s="154">
        <f t="shared" si="1"/>
        <v>400</v>
      </c>
    </row>
    <row r="20" spans="1:38">
      <c r="B20" s="3" t="s">
        <v>37</v>
      </c>
      <c r="C20" s="152">
        <f>'Introducción de datos'!D35</f>
        <v>90</v>
      </c>
      <c r="D20" s="152">
        <f>C20</f>
        <v>90</v>
      </c>
      <c r="E20" s="152">
        <f t="shared" ref="E20:AL20" si="2">D20</f>
        <v>90</v>
      </c>
      <c r="F20" s="152">
        <f t="shared" si="2"/>
        <v>90</v>
      </c>
      <c r="G20" s="152">
        <f t="shared" si="2"/>
        <v>90</v>
      </c>
      <c r="H20" s="152">
        <f t="shared" si="2"/>
        <v>90</v>
      </c>
      <c r="I20" s="152">
        <f t="shared" si="2"/>
        <v>90</v>
      </c>
      <c r="J20" s="152">
        <f t="shared" si="2"/>
        <v>90</v>
      </c>
      <c r="K20" s="152">
        <f t="shared" si="2"/>
        <v>90</v>
      </c>
      <c r="L20" s="152">
        <f t="shared" si="2"/>
        <v>90</v>
      </c>
      <c r="M20" s="152">
        <f t="shared" si="2"/>
        <v>90</v>
      </c>
      <c r="N20" s="152">
        <f t="shared" si="2"/>
        <v>90</v>
      </c>
      <c r="O20" s="152">
        <f t="shared" si="2"/>
        <v>90</v>
      </c>
      <c r="P20" s="152">
        <f t="shared" si="2"/>
        <v>90</v>
      </c>
      <c r="Q20" s="152">
        <f t="shared" si="2"/>
        <v>90</v>
      </c>
      <c r="R20" s="152">
        <f t="shared" si="2"/>
        <v>90</v>
      </c>
      <c r="S20" s="152">
        <f t="shared" si="2"/>
        <v>90</v>
      </c>
      <c r="T20" s="152">
        <f t="shared" si="2"/>
        <v>90</v>
      </c>
      <c r="U20" s="152">
        <f t="shared" si="2"/>
        <v>90</v>
      </c>
      <c r="V20" s="152">
        <f t="shared" si="2"/>
        <v>90</v>
      </c>
      <c r="W20" s="152">
        <f t="shared" si="2"/>
        <v>90</v>
      </c>
      <c r="X20" s="152">
        <f t="shared" si="2"/>
        <v>90</v>
      </c>
      <c r="Y20" s="152">
        <f t="shared" si="2"/>
        <v>90</v>
      </c>
      <c r="Z20" s="152">
        <f t="shared" si="2"/>
        <v>90</v>
      </c>
      <c r="AA20" s="152">
        <f t="shared" si="2"/>
        <v>90</v>
      </c>
      <c r="AB20" s="152">
        <f t="shared" si="2"/>
        <v>90</v>
      </c>
      <c r="AC20" s="152">
        <f t="shared" si="2"/>
        <v>90</v>
      </c>
      <c r="AD20" s="152">
        <f t="shared" si="2"/>
        <v>90</v>
      </c>
      <c r="AE20" s="152">
        <f t="shared" si="2"/>
        <v>90</v>
      </c>
      <c r="AF20" s="152">
        <f t="shared" si="2"/>
        <v>90</v>
      </c>
      <c r="AG20" s="152">
        <f t="shared" si="2"/>
        <v>90</v>
      </c>
      <c r="AH20" s="152">
        <f t="shared" si="2"/>
        <v>90</v>
      </c>
      <c r="AI20" s="152">
        <f t="shared" si="2"/>
        <v>90</v>
      </c>
      <c r="AJ20" s="152">
        <f t="shared" si="2"/>
        <v>90</v>
      </c>
      <c r="AK20" s="152">
        <f t="shared" si="2"/>
        <v>90</v>
      </c>
      <c r="AL20" s="154">
        <f t="shared" si="2"/>
        <v>90</v>
      </c>
    </row>
    <row r="21" spans="1:38">
      <c r="B21" s="3" t="s">
        <v>38</v>
      </c>
      <c r="C21" s="152">
        <f>'Introducción de datos'!D38</f>
        <v>780</v>
      </c>
      <c r="D21" s="152">
        <f>C21</f>
        <v>780</v>
      </c>
      <c r="E21" s="152">
        <f t="shared" ref="E21:AL22" si="3">D21</f>
        <v>780</v>
      </c>
      <c r="F21" s="152">
        <f t="shared" si="3"/>
        <v>780</v>
      </c>
      <c r="G21" s="152">
        <f t="shared" si="3"/>
        <v>780</v>
      </c>
      <c r="H21" s="152">
        <f t="shared" si="3"/>
        <v>780</v>
      </c>
      <c r="I21" s="152">
        <f t="shared" si="3"/>
        <v>780</v>
      </c>
      <c r="J21" s="152">
        <f t="shared" si="3"/>
        <v>780</v>
      </c>
      <c r="K21" s="152">
        <f t="shared" si="3"/>
        <v>780</v>
      </c>
      <c r="L21" s="152">
        <f t="shared" si="3"/>
        <v>780</v>
      </c>
      <c r="M21" s="152">
        <f t="shared" si="3"/>
        <v>780</v>
      </c>
      <c r="N21" s="152">
        <f t="shared" si="3"/>
        <v>780</v>
      </c>
      <c r="O21" s="152">
        <f t="shared" si="3"/>
        <v>780</v>
      </c>
      <c r="P21" s="152">
        <f t="shared" si="3"/>
        <v>780</v>
      </c>
      <c r="Q21" s="152">
        <f t="shared" si="3"/>
        <v>780</v>
      </c>
      <c r="R21" s="152">
        <f t="shared" si="3"/>
        <v>780</v>
      </c>
      <c r="S21" s="152">
        <f t="shared" si="3"/>
        <v>780</v>
      </c>
      <c r="T21" s="152">
        <f t="shared" si="3"/>
        <v>780</v>
      </c>
      <c r="U21" s="152">
        <f t="shared" si="3"/>
        <v>780</v>
      </c>
      <c r="V21" s="152">
        <f t="shared" si="3"/>
        <v>780</v>
      </c>
      <c r="W21" s="152">
        <f t="shared" si="3"/>
        <v>780</v>
      </c>
      <c r="X21" s="152">
        <f t="shared" si="3"/>
        <v>780</v>
      </c>
      <c r="Y21" s="152">
        <f t="shared" si="3"/>
        <v>780</v>
      </c>
      <c r="Z21" s="152">
        <f t="shared" si="3"/>
        <v>780</v>
      </c>
      <c r="AA21" s="152">
        <f t="shared" si="3"/>
        <v>780</v>
      </c>
      <c r="AB21" s="152">
        <f t="shared" si="3"/>
        <v>780</v>
      </c>
      <c r="AC21" s="152">
        <f t="shared" si="3"/>
        <v>780</v>
      </c>
      <c r="AD21" s="152">
        <f t="shared" si="3"/>
        <v>780</v>
      </c>
      <c r="AE21" s="152">
        <f t="shared" si="3"/>
        <v>780</v>
      </c>
      <c r="AF21" s="152">
        <f t="shared" si="3"/>
        <v>780</v>
      </c>
      <c r="AG21" s="152">
        <f t="shared" si="3"/>
        <v>780</v>
      </c>
      <c r="AH21" s="152">
        <f t="shared" si="3"/>
        <v>780</v>
      </c>
      <c r="AI21" s="152">
        <f t="shared" si="3"/>
        <v>780</v>
      </c>
      <c r="AJ21" s="152">
        <f t="shared" si="3"/>
        <v>780</v>
      </c>
      <c r="AK21" s="152">
        <f t="shared" si="3"/>
        <v>780</v>
      </c>
      <c r="AL21" s="154">
        <f t="shared" si="3"/>
        <v>780</v>
      </c>
    </row>
    <row r="22" spans="1:38">
      <c r="B22" s="3" t="s">
        <v>158</v>
      </c>
      <c r="C22" s="152">
        <f>'Introducción de datos'!D52</f>
        <v>50</v>
      </c>
      <c r="D22" s="152">
        <f>C22</f>
        <v>50</v>
      </c>
      <c r="E22" s="152">
        <f t="shared" si="3"/>
        <v>50</v>
      </c>
      <c r="F22" s="152">
        <f t="shared" si="3"/>
        <v>50</v>
      </c>
      <c r="G22" s="152">
        <f t="shared" si="3"/>
        <v>50</v>
      </c>
      <c r="H22" s="152">
        <f t="shared" si="3"/>
        <v>50</v>
      </c>
      <c r="I22" s="152">
        <f t="shared" si="3"/>
        <v>50</v>
      </c>
      <c r="J22" s="152">
        <f t="shared" si="3"/>
        <v>50</v>
      </c>
      <c r="K22" s="152">
        <f t="shared" si="3"/>
        <v>50</v>
      </c>
      <c r="L22" s="152">
        <f t="shared" si="3"/>
        <v>50</v>
      </c>
      <c r="M22" s="152">
        <f t="shared" si="3"/>
        <v>50</v>
      </c>
      <c r="N22" s="152">
        <f t="shared" si="3"/>
        <v>50</v>
      </c>
      <c r="O22" s="152">
        <f t="shared" si="3"/>
        <v>50</v>
      </c>
      <c r="P22" s="152">
        <f t="shared" si="3"/>
        <v>50</v>
      </c>
      <c r="Q22" s="152">
        <f t="shared" si="3"/>
        <v>50</v>
      </c>
      <c r="R22" s="152">
        <f t="shared" si="3"/>
        <v>50</v>
      </c>
      <c r="S22" s="152">
        <f t="shared" si="3"/>
        <v>50</v>
      </c>
      <c r="T22" s="152">
        <f t="shared" si="3"/>
        <v>50</v>
      </c>
      <c r="U22" s="152">
        <f t="shared" si="3"/>
        <v>50</v>
      </c>
      <c r="V22" s="152">
        <f t="shared" si="3"/>
        <v>50</v>
      </c>
      <c r="W22" s="152">
        <f t="shared" si="3"/>
        <v>50</v>
      </c>
      <c r="X22" s="152">
        <f t="shared" si="3"/>
        <v>50</v>
      </c>
      <c r="Y22" s="152">
        <f t="shared" si="3"/>
        <v>50</v>
      </c>
      <c r="Z22" s="152">
        <f t="shared" si="3"/>
        <v>50</v>
      </c>
      <c r="AA22" s="152">
        <f t="shared" si="3"/>
        <v>50</v>
      </c>
      <c r="AB22" s="152">
        <f t="shared" si="3"/>
        <v>50</v>
      </c>
      <c r="AC22" s="152">
        <f t="shared" si="3"/>
        <v>50</v>
      </c>
      <c r="AD22" s="152">
        <f t="shared" si="3"/>
        <v>50</v>
      </c>
      <c r="AE22" s="152">
        <f t="shared" si="3"/>
        <v>50</v>
      </c>
      <c r="AF22" s="152">
        <f t="shared" si="3"/>
        <v>50</v>
      </c>
      <c r="AG22" s="152">
        <f t="shared" si="3"/>
        <v>50</v>
      </c>
      <c r="AH22" s="152">
        <f t="shared" si="3"/>
        <v>50</v>
      </c>
      <c r="AI22" s="152">
        <f t="shared" si="3"/>
        <v>50</v>
      </c>
      <c r="AJ22" s="152">
        <f t="shared" si="3"/>
        <v>50</v>
      </c>
      <c r="AK22" s="152">
        <f t="shared" si="3"/>
        <v>50</v>
      </c>
      <c r="AL22" s="152">
        <f t="shared" si="3"/>
        <v>50</v>
      </c>
    </row>
    <row r="23" spans="1:38">
      <c r="B23" s="110" t="s">
        <v>159</v>
      </c>
      <c r="C23" s="155">
        <f>Personal!C34</f>
        <v>1825</v>
      </c>
      <c r="D23" s="155">
        <f>Personal!D34</f>
        <v>1825</v>
      </c>
      <c r="E23" s="155">
        <f>Personal!E34</f>
        <v>1825</v>
      </c>
      <c r="F23" s="155">
        <f>Personal!F34</f>
        <v>1825</v>
      </c>
      <c r="G23" s="155">
        <f>Personal!G34</f>
        <v>2800</v>
      </c>
      <c r="H23" s="155">
        <f>Personal!H34</f>
        <v>2800</v>
      </c>
      <c r="I23" s="155">
        <f>Personal!I34</f>
        <v>2800</v>
      </c>
      <c r="J23" s="155">
        <f>Personal!J34</f>
        <v>2800</v>
      </c>
      <c r="K23" s="155">
        <f>Personal!K34</f>
        <v>2800</v>
      </c>
      <c r="L23" s="155">
        <f>Personal!L34</f>
        <v>2800</v>
      </c>
      <c r="M23" s="155">
        <f>Personal!M34</f>
        <v>2800</v>
      </c>
      <c r="N23" s="155">
        <f>Personal!N34</f>
        <v>2800</v>
      </c>
      <c r="O23" s="155">
        <f>Personal!O34</f>
        <v>2800</v>
      </c>
      <c r="P23" s="155">
        <f>Personal!P34</f>
        <v>2800</v>
      </c>
      <c r="Q23" s="155">
        <f>Personal!Q34</f>
        <v>2800</v>
      </c>
      <c r="R23" s="155">
        <f>Personal!R34</f>
        <v>2800</v>
      </c>
      <c r="S23" s="155">
        <f>Personal!S34</f>
        <v>3775</v>
      </c>
      <c r="T23" s="155">
        <f>Personal!T34</f>
        <v>3775</v>
      </c>
      <c r="U23" s="155">
        <f>Personal!U34</f>
        <v>3775</v>
      </c>
      <c r="V23" s="155">
        <f>Personal!V34</f>
        <v>3775</v>
      </c>
      <c r="W23" s="155">
        <f>Personal!W34</f>
        <v>3775</v>
      </c>
      <c r="X23" s="155">
        <f>Personal!X34</f>
        <v>3775</v>
      </c>
      <c r="Y23" s="155">
        <f>Personal!Y34</f>
        <v>3775</v>
      </c>
      <c r="Z23" s="155">
        <f>Personal!Z34</f>
        <v>3775</v>
      </c>
      <c r="AA23" s="155">
        <f>Personal!AA34</f>
        <v>3775</v>
      </c>
      <c r="AB23" s="155">
        <f>Personal!AB34</f>
        <v>3775</v>
      </c>
      <c r="AC23" s="155">
        <f>Personal!AC34</f>
        <v>3775</v>
      </c>
      <c r="AD23" s="155">
        <f>Personal!AD34</f>
        <v>3775</v>
      </c>
      <c r="AE23" s="155">
        <f>Personal!AE34</f>
        <v>3775</v>
      </c>
      <c r="AF23" s="155">
        <f>Personal!AF34</f>
        <v>3775</v>
      </c>
      <c r="AG23" s="155">
        <f>Personal!AG34</f>
        <v>3775</v>
      </c>
      <c r="AH23" s="155">
        <f>Personal!AH34</f>
        <v>3775</v>
      </c>
      <c r="AI23" s="155">
        <f>Personal!AI34</f>
        <v>3775</v>
      </c>
      <c r="AJ23" s="155">
        <f>Personal!AJ34</f>
        <v>3775</v>
      </c>
      <c r="AK23" s="155">
        <f>Personal!AK34</f>
        <v>3775</v>
      </c>
      <c r="AL23" s="156">
        <f>Personal!AL34</f>
        <v>3775</v>
      </c>
    </row>
    <row r="24" spans="1:38">
      <c r="B24" s="3" t="s">
        <v>39</v>
      </c>
      <c r="C24" s="152" cm="1">
        <f t="array" ref="C24">INDEX('Cuadro amortización crédito'!$D$13:$D$84,COLUMN(A1))</f>
        <v>172.50000000000003</v>
      </c>
      <c r="D24" s="152" cm="1">
        <f t="array" ref="D24">INDEX('Cuadro amortización crédito'!$D$13:$D$84,COLUMN(B1))</f>
        <v>172.50000000000003</v>
      </c>
      <c r="E24" s="152" cm="1">
        <f t="array" ref="E24">INDEX('Cuadro amortización crédito'!$D$13:$D$84,COLUMN(C1))</f>
        <v>172.50000000000003</v>
      </c>
      <c r="F24" s="152" cm="1">
        <f t="array" ref="F24">INDEX('Cuadro amortización crédito'!$D$13:$D$84,COLUMN(D1))</f>
        <v>172.50000000000003</v>
      </c>
      <c r="G24" s="152" cm="1">
        <f t="array" ref="G24">INDEX('Cuadro amortización crédito'!$D$13:$D$84,COLUMN(E1))</f>
        <v>172.50000000000003</v>
      </c>
      <c r="H24" s="152" cm="1">
        <f t="array" ref="H24">INDEX('Cuadro amortización crédito'!$D$13:$D$84,COLUMN(F1))</f>
        <v>172.50000000000003</v>
      </c>
      <c r="I24" s="152" cm="1">
        <f t="array" ref="I24">INDEX('Cuadro amortización crédito'!$D$13:$D$84,COLUMN(G1))</f>
        <v>172.50000000000003</v>
      </c>
      <c r="J24" s="152" cm="1">
        <f t="array" ref="J24">INDEX('Cuadro amortización crédito'!$D$13:$D$84,COLUMN(H1))</f>
        <v>170.34359029956084</v>
      </c>
      <c r="K24" s="152" cm="1">
        <f t="array" ref="K24">INDEX('Cuadro amortización crédito'!$D$13:$D$84,COLUMN(I1))</f>
        <v>168.17478124334411</v>
      </c>
      <c r="L24" s="152" cm="1">
        <f t="array" ref="L24">INDEX('Cuadro amortización crédito'!$D$13:$D$84,COLUMN(J1))</f>
        <v>165.99350153505415</v>
      </c>
      <c r="M24" s="152" cm="1">
        <f t="array" ref="M24">INDEX('Cuadro amortización crédito'!$D$13:$D$84,COLUMN(K1))</f>
        <v>163.79967946844152</v>
      </c>
      <c r="N24" s="152" cm="1">
        <f t="array" ref="N24">INDEX('Cuadro amortización crédito'!$D$13:$D$84,COLUMN(L1))</f>
        <v>161.59324292494588</v>
      </c>
      <c r="O24" s="152" cm="1">
        <f t="array" ref="O24">INDEX('Cuadro amortización crédito'!$D$13:$D$84,COLUMN(M1))</f>
        <v>159.37411937132512</v>
      </c>
      <c r="P24" s="152" cm="1">
        <f t="array" ref="P24">INDEX('Cuadro amortización crédito'!$D$13:$D$84,COLUMN(N1))</f>
        <v>157.14223585727106</v>
      </c>
      <c r="Q24" s="152" cm="1">
        <f t="array" ref="Q24">INDEX('Cuadro amortización crédito'!$D$13:$D$84,COLUMN(O1))</f>
        <v>154.89751901301119</v>
      </c>
      <c r="R24" s="152" cm="1">
        <f t="array" ref="R24">INDEX('Cuadro amortización crédito'!$D$13:$D$84,COLUMN(P1))</f>
        <v>152.63989504689684</v>
      </c>
      <c r="S24" s="152" cm="1">
        <f t="array" ref="S24">INDEX('Cuadro amortización crédito'!$D$13:$D$84,COLUMN(Q1))</f>
        <v>150.36928974297732</v>
      </c>
      <c r="T24" s="152" cm="1">
        <f t="array" ref="T24">INDEX('Cuadro amortización crédito'!$D$13:$D$84,COLUMN(R1))</f>
        <v>148.08562845856025</v>
      </c>
      <c r="U24" s="152" cm="1">
        <f t="array" ref="U24">INDEX('Cuadro amortización crédito'!$D$13:$D$84,COLUMN(S1))</f>
        <v>145.78883612175778</v>
      </c>
      <c r="V24" s="152" cm="1">
        <f t="array" ref="V24">INDEX('Cuadro amortización crédito'!$D$13:$D$84,COLUMN(T1))</f>
        <v>143.47883722901869</v>
      </c>
      <c r="W24" s="152" cm="1">
        <f t="array" ref="W24">INDEX('Cuadro amortización crédito'!$D$13:$D$84,COLUMN(U1))</f>
        <v>141.15555584264635</v>
      </c>
      <c r="X24" s="152" cm="1">
        <f t="array" ref="X24">INDEX('Cuadro amortización crédito'!$D$13:$D$84,COLUMN(V1))</f>
        <v>138.81891558830239</v>
      </c>
      <c r="Y24" s="152" cm="1">
        <f t="array" ref="Y24">INDEX('Cuadro amortización crédito'!$D$13:$D$84,COLUMN(W1))</f>
        <v>136.46883965249594</v>
      </c>
      <c r="Z24" s="152" cm="1">
        <f t="array" ref="Z24">INDEX('Cuadro amortización crédito'!$D$13:$D$84,COLUMN(X1))</f>
        <v>134.10525078005861</v>
      </c>
      <c r="AA24" s="152" cm="1">
        <f t="array" ref="AA24">INDEX('Cuadro amortización crédito'!$D$13:$D$84,COLUMN(Y1))</f>
        <v>131.72807127160476</v>
      </c>
      <c r="AB24" s="152" cm="1">
        <f t="array" ref="AB24">INDEX('Cuadro amortización crédito'!$D$13:$D$84,COLUMN(Z1))</f>
        <v>129.33722298097732</v>
      </c>
      <c r="AC24" s="152" cm="1">
        <f t="array" ref="AC24">INDEX('Cuadro amortización crédito'!$D$13:$D$84,COLUMN(AA1))</f>
        <v>126.93262731267875</v>
      </c>
      <c r="AD24" s="152" cm="1">
        <f t="array" ref="AD24">INDEX('Cuadro amortización crédito'!$D$13:$D$84,COLUMN(AB1))</f>
        <v>124.51420521928746</v>
      </c>
      <c r="AE24" s="152" cm="1">
        <f t="array" ref="AE24">INDEX('Cuadro amortización crédito'!$D$13:$D$84,COLUMN(AC1))</f>
        <v>122.08187719885917</v>
      </c>
      <c r="AF24" s="152" cm="1">
        <f t="array" ref="AF24">INDEX('Cuadro amortización crédito'!$D$13:$D$84,COLUMN(AD1))</f>
        <v>119.63556329231344</v>
      </c>
      <c r="AG24" s="152" cm="1">
        <f t="array" ref="AG24">INDEX('Cuadro amortización crédito'!$D$13:$D$84,COLUMN(AE1))</f>
        <v>117.17518308080506</v>
      </c>
      <c r="AH24" s="152" cm="1">
        <f t="array" ref="AH24">INDEX('Cuadro amortización crédito'!$D$13:$D$84,COLUMN(AF1))</f>
        <v>114.7006556830805</v>
      </c>
      <c r="AI24" s="152" cm="1">
        <f t="array" ref="AI24">INDEX('Cuadro amortización crédito'!$D$13:$D$84,COLUMN(AG1))</f>
        <v>112.21189975281902</v>
      </c>
      <c r="AJ24" s="152" cm="1">
        <f t="array" ref="AJ24">INDEX('Cuadro amortización crédito'!$D$13:$D$84,COLUMN(AH1))</f>
        <v>109.70883347595856</v>
      </c>
      <c r="AK24" s="152" cm="1">
        <f t="array" ref="AK24">INDEX('Cuadro amortización crédito'!$D$13:$D$84,COLUMN(AI1))</f>
        <v>107.19137456800613</v>
      </c>
      <c r="AL24" s="154" cm="1">
        <f t="array" ref="AL24">INDEX('Cuadro amortización crédito'!$D$13:$D$84,COLUMN(AJ1))</f>
        <v>104.65944027133298</v>
      </c>
    </row>
    <row r="25" spans="1:38">
      <c r="B25" s="3" t="s">
        <v>5</v>
      </c>
      <c r="C25" s="152">
        <f>'Introducción de datos'!D45</f>
        <v>340</v>
      </c>
      <c r="D25" s="152">
        <f>C25</f>
        <v>340</v>
      </c>
      <c r="E25" s="152">
        <f t="shared" ref="E25:AL25" si="4">D25</f>
        <v>340</v>
      </c>
      <c r="F25" s="152">
        <f t="shared" si="4"/>
        <v>340</v>
      </c>
      <c r="G25" s="152">
        <f t="shared" si="4"/>
        <v>340</v>
      </c>
      <c r="H25" s="152">
        <f t="shared" si="4"/>
        <v>340</v>
      </c>
      <c r="I25" s="152">
        <f t="shared" si="4"/>
        <v>340</v>
      </c>
      <c r="J25" s="152">
        <f t="shared" si="4"/>
        <v>340</v>
      </c>
      <c r="K25" s="152">
        <f t="shared" si="4"/>
        <v>340</v>
      </c>
      <c r="L25" s="152">
        <f t="shared" si="4"/>
        <v>340</v>
      </c>
      <c r="M25" s="152">
        <f t="shared" si="4"/>
        <v>340</v>
      </c>
      <c r="N25" s="152">
        <f t="shared" si="4"/>
        <v>340</v>
      </c>
      <c r="O25" s="152">
        <f t="shared" si="4"/>
        <v>340</v>
      </c>
      <c r="P25" s="152">
        <f t="shared" si="4"/>
        <v>340</v>
      </c>
      <c r="Q25" s="152">
        <f t="shared" si="4"/>
        <v>340</v>
      </c>
      <c r="R25" s="152">
        <f t="shared" si="4"/>
        <v>340</v>
      </c>
      <c r="S25" s="152">
        <f t="shared" si="4"/>
        <v>340</v>
      </c>
      <c r="T25" s="152">
        <f t="shared" si="4"/>
        <v>340</v>
      </c>
      <c r="U25" s="152">
        <f t="shared" si="4"/>
        <v>340</v>
      </c>
      <c r="V25" s="152">
        <f t="shared" si="4"/>
        <v>340</v>
      </c>
      <c r="W25" s="152">
        <f t="shared" si="4"/>
        <v>340</v>
      </c>
      <c r="X25" s="152">
        <f t="shared" si="4"/>
        <v>340</v>
      </c>
      <c r="Y25" s="152">
        <f t="shared" si="4"/>
        <v>340</v>
      </c>
      <c r="Z25" s="152">
        <f t="shared" si="4"/>
        <v>340</v>
      </c>
      <c r="AA25" s="152">
        <f t="shared" si="4"/>
        <v>340</v>
      </c>
      <c r="AB25" s="152">
        <f t="shared" si="4"/>
        <v>340</v>
      </c>
      <c r="AC25" s="152">
        <f t="shared" si="4"/>
        <v>340</v>
      </c>
      <c r="AD25" s="152">
        <f t="shared" si="4"/>
        <v>340</v>
      </c>
      <c r="AE25" s="152">
        <f t="shared" si="4"/>
        <v>340</v>
      </c>
      <c r="AF25" s="152">
        <f t="shared" si="4"/>
        <v>340</v>
      </c>
      <c r="AG25" s="152">
        <f t="shared" si="4"/>
        <v>340</v>
      </c>
      <c r="AH25" s="152">
        <f t="shared" si="4"/>
        <v>340</v>
      </c>
      <c r="AI25" s="152">
        <f t="shared" si="4"/>
        <v>340</v>
      </c>
      <c r="AJ25" s="152">
        <f t="shared" si="4"/>
        <v>340</v>
      </c>
      <c r="AK25" s="152">
        <f t="shared" si="4"/>
        <v>340</v>
      </c>
      <c r="AL25" s="152">
        <f t="shared" si="4"/>
        <v>340</v>
      </c>
    </row>
    <row r="26" spans="1:38">
      <c r="B26" s="3" t="s">
        <v>40</v>
      </c>
      <c r="C26" s="152">
        <f>'Introducción de datos'!G8</f>
        <v>171.08333333333331</v>
      </c>
      <c r="D26" s="152">
        <f>C26</f>
        <v>171.08333333333331</v>
      </c>
      <c r="E26" s="152">
        <f t="shared" ref="E26:AL26" si="5">D26</f>
        <v>171.08333333333331</v>
      </c>
      <c r="F26" s="152">
        <f t="shared" si="5"/>
        <v>171.08333333333331</v>
      </c>
      <c r="G26" s="152">
        <f t="shared" si="5"/>
        <v>171.08333333333331</v>
      </c>
      <c r="H26" s="152">
        <f t="shared" si="5"/>
        <v>171.08333333333331</v>
      </c>
      <c r="I26" s="152">
        <f t="shared" si="5"/>
        <v>171.08333333333331</v>
      </c>
      <c r="J26" s="152">
        <f t="shared" si="5"/>
        <v>171.08333333333331</v>
      </c>
      <c r="K26" s="152">
        <f t="shared" si="5"/>
        <v>171.08333333333331</v>
      </c>
      <c r="L26" s="152">
        <f t="shared" si="5"/>
        <v>171.08333333333331</v>
      </c>
      <c r="M26" s="152">
        <f t="shared" si="5"/>
        <v>171.08333333333331</v>
      </c>
      <c r="N26" s="152">
        <f t="shared" si="5"/>
        <v>171.08333333333331</v>
      </c>
      <c r="O26" s="152">
        <f t="shared" si="5"/>
        <v>171.08333333333331</v>
      </c>
      <c r="P26" s="152">
        <f t="shared" si="5"/>
        <v>171.08333333333331</v>
      </c>
      <c r="Q26" s="152">
        <f t="shared" si="5"/>
        <v>171.08333333333331</v>
      </c>
      <c r="R26" s="152">
        <f t="shared" si="5"/>
        <v>171.08333333333331</v>
      </c>
      <c r="S26" s="152">
        <f t="shared" si="5"/>
        <v>171.08333333333331</v>
      </c>
      <c r="T26" s="152">
        <f t="shared" si="5"/>
        <v>171.08333333333331</v>
      </c>
      <c r="U26" s="152">
        <f t="shared" si="5"/>
        <v>171.08333333333331</v>
      </c>
      <c r="V26" s="152">
        <f t="shared" si="5"/>
        <v>171.08333333333331</v>
      </c>
      <c r="W26" s="152">
        <f t="shared" si="5"/>
        <v>171.08333333333331</v>
      </c>
      <c r="X26" s="152">
        <f t="shared" si="5"/>
        <v>171.08333333333331</v>
      </c>
      <c r="Y26" s="152">
        <f t="shared" si="5"/>
        <v>171.08333333333331</v>
      </c>
      <c r="Z26" s="152">
        <f t="shared" si="5"/>
        <v>171.08333333333331</v>
      </c>
      <c r="AA26" s="152">
        <f t="shared" si="5"/>
        <v>171.08333333333331</v>
      </c>
      <c r="AB26" s="152">
        <f t="shared" si="5"/>
        <v>171.08333333333331</v>
      </c>
      <c r="AC26" s="152">
        <f t="shared" si="5"/>
        <v>171.08333333333331</v>
      </c>
      <c r="AD26" s="152">
        <f t="shared" si="5"/>
        <v>171.08333333333331</v>
      </c>
      <c r="AE26" s="152">
        <f t="shared" si="5"/>
        <v>171.08333333333331</v>
      </c>
      <c r="AF26" s="152">
        <f t="shared" si="5"/>
        <v>171.08333333333331</v>
      </c>
      <c r="AG26" s="152">
        <f t="shared" si="5"/>
        <v>171.08333333333331</v>
      </c>
      <c r="AH26" s="152">
        <f t="shared" si="5"/>
        <v>171.08333333333331</v>
      </c>
      <c r="AI26" s="152">
        <f t="shared" si="5"/>
        <v>171.08333333333331</v>
      </c>
      <c r="AJ26" s="152">
        <f t="shared" si="5"/>
        <v>171.08333333333331</v>
      </c>
      <c r="AK26" s="152">
        <f t="shared" si="5"/>
        <v>171.08333333333331</v>
      </c>
      <c r="AL26" s="154">
        <f t="shared" si="5"/>
        <v>171.08333333333331</v>
      </c>
    </row>
    <row r="27" spans="1:38">
      <c r="B27" s="3" t="s">
        <v>160</v>
      </c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4"/>
    </row>
    <row r="28" spans="1:38" ht="15.75" thickBot="1">
      <c r="B28" s="52" t="s">
        <v>200</v>
      </c>
      <c r="C28" s="157">
        <f>SUM(C17:C27)</f>
        <v>3828.5833333333335</v>
      </c>
      <c r="D28" s="157">
        <f t="shared" ref="D28:AL28" si="6">SUM(D17:D27)</f>
        <v>3888.5833333333335</v>
      </c>
      <c r="E28" s="157">
        <f t="shared" si="6"/>
        <v>4233.583333333333</v>
      </c>
      <c r="F28" s="157">
        <f t="shared" si="6"/>
        <v>4449.583333333333</v>
      </c>
      <c r="G28" s="157">
        <f t="shared" si="6"/>
        <v>6765.583333333333</v>
      </c>
      <c r="H28" s="157">
        <f t="shared" si="6"/>
        <v>6045.583333333333</v>
      </c>
      <c r="I28" s="157">
        <f t="shared" si="6"/>
        <v>7230.583333333333</v>
      </c>
      <c r="J28" s="157">
        <f t="shared" si="6"/>
        <v>7444.4269236328937</v>
      </c>
      <c r="K28" s="157">
        <f t="shared" si="6"/>
        <v>7907.2581145766771</v>
      </c>
      <c r="L28" s="157">
        <f t="shared" si="6"/>
        <v>7965.0768348683869</v>
      </c>
      <c r="M28" s="157">
        <f t="shared" si="6"/>
        <v>6591.8830128017744</v>
      </c>
      <c r="N28" s="157">
        <f t="shared" si="6"/>
        <v>6844.6765762582791</v>
      </c>
      <c r="O28" s="157">
        <f t="shared" si="6"/>
        <v>5471.457452704658</v>
      </c>
      <c r="P28" s="157">
        <f t="shared" si="6"/>
        <v>6714.2255691906039</v>
      </c>
      <c r="Q28" s="157">
        <f t="shared" si="6"/>
        <v>6276.9808523463444</v>
      </c>
      <c r="R28" s="157">
        <f t="shared" si="6"/>
        <v>7771.7232283802296</v>
      </c>
      <c r="S28" s="157">
        <f t="shared" si="6"/>
        <v>10145.452623076311</v>
      </c>
      <c r="T28" s="157">
        <f t="shared" si="6"/>
        <v>8643.1689617918946</v>
      </c>
      <c r="U28" s="157">
        <f t="shared" si="6"/>
        <v>10665.872169455091</v>
      </c>
      <c r="V28" s="157">
        <f t="shared" si="6"/>
        <v>9943.5621705623525</v>
      </c>
      <c r="W28" s="157">
        <f t="shared" si="6"/>
        <v>10901.23888917598</v>
      </c>
      <c r="X28" s="157">
        <f t="shared" si="6"/>
        <v>9878.9022489216368</v>
      </c>
      <c r="Y28" s="157">
        <f t="shared" si="6"/>
        <v>9000.5521729858301</v>
      </c>
      <c r="Z28" s="157">
        <f t="shared" si="6"/>
        <v>7912.1885841133917</v>
      </c>
      <c r="AA28" s="157">
        <f t="shared" si="6"/>
        <v>9340.8114046049395</v>
      </c>
      <c r="AB28" s="157">
        <f t="shared" si="6"/>
        <v>10829.420556314311</v>
      </c>
      <c r="AC28" s="157">
        <f t="shared" si="6"/>
        <v>10827.015960646013</v>
      </c>
      <c r="AD28" s="157">
        <f t="shared" si="6"/>
        <v>13407.597538552622</v>
      </c>
      <c r="AE28" s="157">
        <f t="shared" si="6"/>
        <v>15241.165210532194</v>
      </c>
      <c r="AF28" s="157">
        <f t="shared" si="6"/>
        <v>13888.718896625647</v>
      </c>
      <c r="AG28" s="157">
        <f t="shared" si="6"/>
        <v>15911.258516414138</v>
      </c>
      <c r="AH28" s="157">
        <f t="shared" si="6"/>
        <v>15053.783989016414</v>
      </c>
      <c r="AI28" s="157">
        <f t="shared" si="6"/>
        <v>15480.295233086154</v>
      </c>
      <c r="AJ28" s="157">
        <f t="shared" si="6"/>
        <v>14022.792166809293</v>
      </c>
      <c r="AK28" s="157">
        <f t="shared" si="6"/>
        <v>10642.274707901341</v>
      </c>
      <c r="AL28" s="158">
        <f t="shared" si="6"/>
        <v>8467.7427736046666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CD6AA-F4A5-432B-BEB9-CA478D87C8AF}">
  <dimension ref="B5:O31"/>
  <sheetViews>
    <sheetView topLeftCell="A3" zoomScale="110" zoomScaleNormal="110" workbookViewId="0">
      <selection activeCell="B7" sqref="B7:O10"/>
    </sheetView>
  </sheetViews>
  <sheetFormatPr baseColWidth="10" defaultRowHeight="15"/>
  <cols>
    <col min="1" max="1" width="14.7109375" customWidth="1"/>
    <col min="2" max="2" width="26.42578125" customWidth="1"/>
    <col min="3" max="14" width="10.85546875" bestFit="1" customWidth="1"/>
    <col min="15" max="15" width="13.140625" bestFit="1" customWidth="1"/>
    <col min="17" max="17" width="23.42578125" bestFit="1" customWidth="1"/>
    <col min="18" max="18" width="21.42578125" bestFit="1" customWidth="1"/>
    <col min="19" max="19" width="23.42578125" bestFit="1" customWidth="1"/>
    <col min="20" max="20" width="21.28515625" bestFit="1" customWidth="1"/>
    <col min="21" max="21" width="20.85546875" bestFit="1" customWidth="1"/>
    <col min="257" max="257" width="14.7109375" customWidth="1"/>
    <col min="258" max="258" width="26.42578125" customWidth="1"/>
    <col min="259" max="271" width="7.42578125" customWidth="1"/>
    <col min="513" max="513" width="14.7109375" customWidth="1"/>
    <col min="514" max="514" width="26.42578125" customWidth="1"/>
    <col min="515" max="527" width="7.42578125" customWidth="1"/>
    <col min="769" max="769" width="14.7109375" customWidth="1"/>
    <col min="770" max="770" width="26.42578125" customWidth="1"/>
    <col min="771" max="783" width="7.42578125" customWidth="1"/>
    <col min="1025" max="1025" width="14.7109375" customWidth="1"/>
    <col min="1026" max="1026" width="26.42578125" customWidth="1"/>
    <col min="1027" max="1039" width="7.42578125" customWidth="1"/>
    <col min="1281" max="1281" width="14.7109375" customWidth="1"/>
    <col min="1282" max="1282" width="26.42578125" customWidth="1"/>
    <col min="1283" max="1295" width="7.42578125" customWidth="1"/>
    <col min="1537" max="1537" width="14.7109375" customWidth="1"/>
    <col min="1538" max="1538" width="26.42578125" customWidth="1"/>
    <col min="1539" max="1551" width="7.42578125" customWidth="1"/>
    <col min="1793" max="1793" width="14.7109375" customWidth="1"/>
    <col min="1794" max="1794" width="26.42578125" customWidth="1"/>
    <col min="1795" max="1807" width="7.42578125" customWidth="1"/>
    <col min="2049" max="2049" width="14.7109375" customWidth="1"/>
    <col min="2050" max="2050" width="26.42578125" customWidth="1"/>
    <col min="2051" max="2063" width="7.42578125" customWidth="1"/>
    <col min="2305" max="2305" width="14.7109375" customWidth="1"/>
    <col min="2306" max="2306" width="26.42578125" customWidth="1"/>
    <col min="2307" max="2319" width="7.42578125" customWidth="1"/>
    <col min="2561" max="2561" width="14.7109375" customWidth="1"/>
    <col min="2562" max="2562" width="26.42578125" customWidth="1"/>
    <col min="2563" max="2575" width="7.42578125" customWidth="1"/>
    <col min="2817" max="2817" width="14.7109375" customWidth="1"/>
    <col min="2818" max="2818" width="26.42578125" customWidth="1"/>
    <col min="2819" max="2831" width="7.42578125" customWidth="1"/>
    <col min="3073" max="3073" width="14.7109375" customWidth="1"/>
    <col min="3074" max="3074" width="26.42578125" customWidth="1"/>
    <col min="3075" max="3087" width="7.42578125" customWidth="1"/>
    <col min="3329" max="3329" width="14.7109375" customWidth="1"/>
    <col min="3330" max="3330" width="26.42578125" customWidth="1"/>
    <col min="3331" max="3343" width="7.42578125" customWidth="1"/>
    <col min="3585" max="3585" width="14.7109375" customWidth="1"/>
    <col min="3586" max="3586" width="26.42578125" customWidth="1"/>
    <col min="3587" max="3599" width="7.42578125" customWidth="1"/>
    <col min="3841" max="3841" width="14.7109375" customWidth="1"/>
    <col min="3842" max="3842" width="26.42578125" customWidth="1"/>
    <col min="3843" max="3855" width="7.42578125" customWidth="1"/>
    <col min="4097" max="4097" width="14.7109375" customWidth="1"/>
    <col min="4098" max="4098" width="26.42578125" customWidth="1"/>
    <col min="4099" max="4111" width="7.42578125" customWidth="1"/>
    <col min="4353" max="4353" width="14.7109375" customWidth="1"/>
    <col min="4354" max="4354" width="26.42578125" customWidth="1"/>
    <col min="4355" max="4367" width="7.42578125" customWidth="1"/>
    <col min="4609" max="4609" width="14.7109375" customWidth="1"/>
    <col min="4610" max="4610" width="26.42578125" customWidth="1"/>
    <col min="4611" max="4623" width="7.42578125" customWidth="1"/>
    <col min="4865" max="4865" width="14.7109375" customWidth="1"/>
    <col min="4866" max="4866" width="26.42578125" customWidth="1"/>
    <col min="4867" max="4879" width="7.42578125" customWidth="1"/>
    <col min="5121" max="5121" width="14.7109375" customWidth="1"/>
    <col min="5122" max="5122" width="26.42578125" customWidth="1"/>
    <col min="5123" max="5135" width="7.42578125" customWidth="1"/>
    <col min="5377" max="5377" width="14.7109375" customWidth="1"/>
    <col min="5378" max="5378" width="26.42578125" customWidth="1"/>
    <col min="5379" max="5391" width="7.42578125" customWidth="1"/>
    <col min="5633" max="5633" width="14.7109375" customWidth="1"/>
    <col min="5634" max="5634" width="26.42578125" customWidth="1"/>
    <col min="5635" max="5647" width="7.42578125" customWidth="1"/>
    <col min="5889" max="5889" width="14.7109375" customWidth="1"/>
    <col min="5890" max="5890" width="26.42578125" customWidth="1"/>
    <col min="5891" max="5903" width="7.42578125" customWidth="1"/>
    <col min="6145" max="6145" width="14.7109375" customWidth="1"/>
    <col min="6146" max="6146" width="26.42578125" customWidth="1"/>
    <col min="6147" max="6159" width="7.42578125" customWidth="1"/>
    <col min="6401" max="6401" width="14.7109375" customWidth="1"/>
    <col min="6402" max="6402" width="26.42578125" customWidth="1"/>
    <col min="6403" max="6415" width="7.42578125" customWidth="1"/>
    <col min="6657" max="6657" width="14.7109375" customWidth="1"/>
    <col min="6658" max="6658" width="26.42578125" customWidth="1"/>
    <col min="6659" max="6671" width="7.42578125" customWidth="1"/>
    <col min="6913" max="6913" width="14.7109375" customWidth="1"/>
    <col min="6914" max="6914" width="26.42578125" customWidth="1"/>
    <col min="6915" max="6927" width="7.42578125" customWidth="1"/>
    <col min="7169" max="7169" width="14.7109375" customWidth="1"/>
    <col min="7170" max="7170" width="26.42578125" customWidth="1"/>
    <col min="7171" max="7183" width="7.42578125" customWidth="1"/>
    <col min="7425" max="7425" width="14.7109375" customWidth="1"/>
    <col min="7426" max="7426" width="26.42578125" customWidth="1"/>
    <col min="7427" max="7439" width="7.42578125" customWidth="1"/>
    <col min="7681" max="7681" width="14.7109375" customWidth="1"/>
    <col min="7682" max="7682" width="26.42578125" customWidth="1"/>
    <col min="7683" max="7695" width="7.42578125" customWidth="1"/>
    <col min="7937" max="7937" width="14.7109375" customWidth="1"/>
    <col min="7938" max="7938" width="26.42578125" customWidth="1"/>
    <col min="7939" max="7951" width="7.42578125" customWidth="1"/>
    <col min="8193" max="8193" width="14.7109375" customWidth="1"/>
    <col min="8194" max="8194" width="26.42578125" customWidth="1"/>
    <col min="8195" max="8207" width="7.42578125" customWidth="1"/>
    <col min="8449" max="8449" width="14.7109375" customWidth="1"/>
    <col min="8450" max="8450" width="26.42578125" customWidth="1"/>
    <col min="8451" max="8463" width="7.42578125" customWidth="1"/>
    <col min="8705" max="8705" width="14.7109375" customWidth="1"/>
    <col min="8706" max="8706" width="26.42578125" customWidth="1"/>
    <col min="8707" max="8719" width="7.42578125" customWidth="1"/>
    <col min="8961" max="8961" width="14.7109375" customWidth="1"/>
    <col min="8962" max="8962" width="26.42578125" customWidth="1"/>
    <col min="8963" max="8975" width="7.42578125" customWidth="1"/>
    <col min="9217" max="9217" width="14.7109375" customWidth="1"/>
    <col min="9218" max="9218" width="26.42578125" customWidth="1"/>
    <col min="9219" max="9231" width="7.42578125" customWidth="1"/>
    <col min="9473" max="9473" width="14.7109375" customWidth="1"/>
    <col min="9474" max="9474" width="26.42578125" customWidth="1"/>
    <col min="9475" max="9487" width="7.42578125" customWidth="1"/>
    <col min="9729" max="9729" width="14.7109375" customWidth="1"/>
    <col min="9730" max="9730" width="26.42578125" customWidth="1"/>
    <col min="9731" max="9743" width="7.42578125" customWidth="1"/>
    <col min="9985" max="9985" width="14.7109375" customWidth="1"/>
    <col min="9986" max="9986" width="26.42578125" customWidth="1"/>
    <col min="9987" max="9999" width="7.42578125" customWidth="1"/>
    <col min="10241" max="10241" width="14.7109375" customWidth="1"/>
    <col min="10242" max="10242" width="26.42578125" customWidth="1"/>
    <col min="10243" max="10255" width="7.42578125" customWidth="1"/>
    <col min="10497" max="10497" width="14.7109375" customWidth="1"/>
    <col min="10498" max="10498" width="26.42578125" customWidth="1"/>
    <col min="10499" max="10511" width="7.42578125" customWidth="1"/>
    <col min="10753" max="10753" width="14.7109375" customWidth="1"/>
    <col min="10754" max="10754" width="26.42578125" customWidth="1"/>
    <col min="10755" max="10767" width="7.42578125" customWidth="1"/>
    <col min="11009" max="11009" width="14.7109375" customWidth="1"/>
    <col min="11010" max="11010" width="26.42578125" customWidth="1"/>
    <col min="11011" max="11023" width="7.42578125" customWidth="1"/>
    <col min="11265" max="11265" width="14.7109375" customWidth="1"/>
    <col min="11266" max="11266" width="26.42578125" customWidth="1"/>
    <col min="11267" max="11279" width="7.42578125" customWidth="1"/>
    <col min="11521" max="11521" width="14.7109375" customWidth="1"/>
    <col min="11522" max="11522" width="26.42578125" customWidth="1"/>
    <col min="11523" max="11535" width="7.42578125" customWidth="1"/>
    <col min="11777" max="11777" width="14.7109375" customWidth="1"/>
    <col min="11778" max="11778" width="26.42578125" customWidth="1"/>
    <col min="11779" max="11791" width="7.42578125" customWidth="1"/>
    <col min="12033" max="12033" width="14.7109375" customWidth="1"/>
    <col min="12034" max="12034" width="26.42578125" customWidth="1"/>
    <col min="12035" max="12047" width="7.42578125" customWidth="1"/>
    <col min="12289" max="12289" width="14.7109375" customWidth="1"/>
    <col min="12290" max="12290" width="26.42578125" customWidth="1"/>
    <col min="12291" max="12303" width="7.42578125" customWidth="1"/>
    <col min="12545" max="12545" width="14.7109375" customWidth="1"/>
    <col min="12546" max="12546" width="26.42578125" customWidth="1"/>
    <col min="12547" max="12559" width="7.42578125" customWidth="1"/>
    <col min="12801" max="12801" width="14.7109375" customWidth="1"/>
    <col min="12802" max="12802" width="26.42578125" customWidth="1"/>
    <col min="12803" max="12815" width="7.42578125" customWidth="1"/>
    <col min="13057" max="13057" width="14.7109375" customWidth="1"/>
    <col min="13058" max="13058" width="26.42578125" customWidth="1"/>
    <col min="13059" max="13071" width="7.42578125" customWidth="1"/>
    <col min="13313" max="13313" width="14.7109375" customWidth="1"/>
    <col min="13314" max="13314" width="26.42578125" customWidth="1"/>
    <col min="13315" max="13327" width="7.42578125" customWidth="1"/>
    <col min="13569" max="13569" width="14.7109375" customWidth="1"/>
    <col min="13570" max="13570" width="26.42578125" customWidth="1"/>
    <col min="13571" max="13583" width="7.42578125" customWidth="1"/>
    <col min="13825" max="13825" width="14.7109375" customWidth="1"/>
    <col min="13826" max="13826" width="26.42578125" customWidth="1"/>
    <col min="13827" max="13839" width="7.42578125" customWidth="1"/>
    <col min="14081" max="14081" width="14.7109375" customWidth="1"/>
    <col min="14082" max="14082" width="26.42578125" customWidth="1"/>
    <col min="14083" max="14095" width="7.42578125" customWidth="1"/>
    <col min="14337" max="14337" width="14.7109375" customWidth="1"/>
    <col min="14338" max="14338" width="26.42578125" customWidth="1"/>
    <col min="14339" max="14351" width="7.42578125" customWidth="1"/>
    <col min="14593" max="14593" width="14.7109375" customWidth="1"/>
    <col min="14594" max="14594" width="26.42578125" customWidth="1"/>
    <col min="14595" max="14607" width="7.42578125" customWidth="1"/>
    <col min="14849" max="14849" width="14.7109375" customWidth="1"/>
    <col min="14850" max="14850" width="26.42578125" customWidth="1"/>
    <col min="14851" max="14863" width="7.42578125" customWidth="1"/>
    <col min="15105" max="15105" width="14.7109375" customWidth="1"/>
    <col min="15106" max="15106" width="26.42578125" customWidth="1"/>
    <col min="15107" max="15119" width="7.42578125" customWidth="1"/>
    <col min="15361" max="15361" width="14.7109375" customWidth="1"/>
    <col min="15362" max="15362" width="26.42578125" customWidth="1"/>
    <col min="15363" max="15375" width="7.42578125" customWidth="1"/>
    <col min="15617" max="15617" width="14.7109375" customWidth="1"/>
    <col min="15618" max="15618" width="26.42578125" customWidth="1"/>
    <col min="15619" max="15631" width="7.42578125" customWidth="1"/>
    <col min="15873" max="15873" width="14.7109375" customWidth="1"/>
    <col min="15874" max="15874" width="26.42578125" customWidth="1"/>
    <col min="15875" max="15887" width="7.42578125" customWidth="1"/>
    <col min="16129" max="16129" width="14.7109375" customWidth="1"/>
    <col min="16130" max="16130" width="26.42578125" customWidth="1"/>
    <col min="16131" max="16143" width="7.42578125" customWidth="1"/>
  </cols>
  <sheetData>
    <row r="5" spans="2:15" ht="58.5" customHeight="1"/>
    <row r="7" spans="2:15">
      <c r="B7" s="180" t="s">
        <v>216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2"/>
    </row>
    <row r="8" spans="2:15">
      <c r="B8" s="47" t="s">
        <v>6</v>
      </c>
      <c r="C8" s="183" t="s">
        <v>16</v>
      </c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4"/>
    </row>
    <row r="9" spans="2:15">
      <c r="B9" s="48"/>
      <c r="C9" s="48" t="s">
        <v>17</v>
      </c>
      <c r="D9" s="48" t="s">
        <v>18</v>
      </c>
      <c r="E9" s="48" t="s">
        <v>19</v>
      </c>
      <c r="F9" s="48" t="s">
        <v>20</v>
      </c>
      <c r="G9" s="48" t="s">
        <v>21</v>
      </c>
      <c r="H9" s="48" t="s">
        <v>22</v>
      </c>
      <c r="I9" s="48" t="s">
        <v>23</v>
      </c>
      <c r="J9" s="48" t="s">
        <v>24</v>
      </c>
      <c r="K9" s="48" t="s">
        <v>25</v>
      </c>
      <c r="L9" s="48" t="s">
        <v>26</v>
      </c>
      <c r="M9" s="48" t="s">
        <v>27</v>
      </c>
      <c r="N9" s="48" t="s">
        <v>28</v>
      </c>
      <c r="O9" s="49" t="s">
        <v>15</v>
      </c>
    </row>
    <row r="10" spans="2:15">
      <c r="B10" s="47" t="s">
        <v>29</v>
      </c>
      <c r="C10" s="106">
        <f>Costes!C11</f>
        <v>46266</v>
      </c>
      <c r="D10" s="106">
        <f>Costes!D11</f>
        <v>46296</v>
      </c>
      <c r="E10" s="106">
        <f>Costes!E11</f>
        <v>46327</v>
      </c>
      <c r="F10" s="106">
        <f>Costes!F11</f>
        <v>46357</v>
      </c>
      <c r="G10" s="106">
        <f>Costes!G11</f>
        <v>46388</v>
      </c>
      <c r="H10" s="106">
        <f>Costes!H11</f>
        <v>46419</v>
      </c>
      <c r="I10" s="106">
        <f>Costes!I11</f>
        <v>46447</v>
      </c>
      <c r="J10" s="106">
        <f>Costes!J11</f>
        <v>46478</v>
      </c>
      <c r="K10" s="106">
        <f>Costes!K11</f>
        <v>46508</v>
      </c>
      <c r="L10" s="106">
        <f>Costes!L11</f>
        <v>46539</v>
      </c>
      <c r="M10" s="106">
        <f>Costes!M11</f>
        <v>46569</v>
      </c>
      <c r="N10" s="106">
        <f>Costes!N11</f>
        <v>46600</v>
      </c>
      <c r="O10" s="106"/>
    </row>
    <row r="11" spans="2:15">
      <c r="B11" s="3" t="s">
        <v>30</v>
      </c>
      <c r="C11" s="152">
        <f>Ventas!C29</f>
        <v>0</v>
      </c>
      <c r="D11" s="152">
        <f>Ventas!D29</f>
        <v>240</v>
      </c>
      <c r="E11" s="152">
        <f>Ventas!E29</f>
        <v>889</v>
      </c>
      <c r="F11" s="152">
        <f>Ventas!F29</f>
        <v>1837</v>
      </c>
      <c r="G11" s="152">
        <f>Ventas!G29</f>
        <v>6182</v>
      </c>
      <c r="H11" s="152">
        <f>Ventas!H29</f>
        <v>3674</v>
      </c>
      <c r="I11" s="152">
        <f>Ventas!I29</f>
        <v>7311</v>
      </c>
      <c r="J11" s="152">
        <f>Ventas!J29</f>
        <v>8259</v>
      </c>
      <c r="K11" s="152">
        <f>Ventas!K29</f>
        <v>9388</v>
      </c>
      <c r="L11" s="152">
        <f>Ventas!L29</f>
        <v>9628</v>
      </c>
      <c r="M11" s="152">
        <f>Ventas!M29</f>
        <v>5163</v>
      </c>
      <c r="N11" s="152">
        <f>Ventas!N29</f>
        <v>6542</v>
      </c>
      <c r="O11" s="159">
        <f>SUM(C11:N11)</f>
        <v>59113</v>
      </c>
    </row>
    <row r="12" spans="2:15">
      <c r="B12" s="3" t="s">
        <v>31</v>
      </c>
      <c r="C12" s="152"/>
      <c r="D12" s="152"/>
      <c r="E12" s="152"/>
      <c r="F12" s="152"/>
      <c r="G12" s="152"/>
      <c r="H12" s="152"/>
      <c r="I12" s="152"/>
      <c r="J12" s="152"/>
      <c r="K12" s="152"/>
      <c r="L12" s="81"/>
      <c r="M12" s="81"/>
      <c r="N12" s="160"/>
      <c r="O12" s="159"/>
    </row>
    <row r="13" spans="2:15">
      <c r="B13" s="3" t="s">
        <v>32</v>
      </c>
      <c r="C13" s="152"/>
      <c r="D13" s="152"/>
      <c r="E13" s="152"/>
      <c r="F13" s="152"/>
      <c r="G13" s="152"/>
      <c r="H13" s="152"/>
      <c r="I13" s="152"/>
      <c r="J13" s="152"/>
      <c r="K13" s="152"/>
      <c r="L13" s="81"/>
      <c r="M13" s="81"/>
      <c r="N13" s="160"/>
      <c r="O13" s="159"/>
    </row>
    <row r="14" spans="2:15">
      <c r="B14" s="47" t="s">
        <v>33</v>
      </c>
      <c r="C14" s="161">
        <f>SUM(C11:C13)</f>
        <v>0</v>
      </c>
      <c r="D14" s="161">
        <f>SUM(D11:D13)</f>
        <v>240</v>
      </c>
      <c r="E14" s="161">
        <f t="shared" ref="E14:N14" si="0">SUM(E11:E13)</f>
        <v>889</v>
      </c>
      <c r="F14" s="161">
        <f t="shared" si="0"/>
        <v>1837</v>
      </c>
      <c r="G14" s="161">
        <f t="shared" si="0"/>
        <v>6182</v>
      </c>
      <c r="H14" s="161">
        <f t="shared" si="0"/>
        <v>3674</v>
      </c>
      <c r="I14" s="161">
        <f t="shared" si="0"/>
        <v>7311</v>
      </c>
      <c r="J14" s="161">
        <f t="shared" si="0"/>
        <v>8259</v>
      </c>
      <c r="K14" s="161">
        <f t="shared" si="0"/>
        <v>9388</v>
      </c>
      <c r="L14" s="161">
        <f t="shared" si="0"/>
        <v>9628</v>
      </c>
      <c r="M14" s="161">
        <f t="shared" si="0"/>
        <v>5163</v>
      </c>
      <c r="N14" s="161">
        <f t="shared" si="0"/>
        <v>6542</v>
      </c>
      <c r="O14" s="161">
        <f>SUM(O11:O13)</f>
        <v>59113</v>
      </c>
    </row>
    <row r="15" spans="2:15">
      <c r="B15" s="47" t="s">
        <v>211</v>
      </c>
      <c r="C15" s="185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7"/>
    </row>
    <row r="16" spans="2:15">
      <c r="B16" s="3" t="s">
        <v>35</v>
      </c>
      <c r="C16" s="152">
        <f>Costes!C17</f>
        <v>0</v>
      </c>
      <c r="D16" s="152">
        <f>Costes!D17</f>
        <v>60</v>
      </c>
      <c r="E16" s="152">
        <f>Costes!E17</f>
        <v>405</v>
      </c>
      <c r="F16" s="152">
        <f>Costes!F17</f>
        <v>621</v>
      </c>
      <c r="G16" s="152">
        <f>Costes!G17</f>
        <v>1962</v>
      </c>
      <c r="H16" s="152">
        <f>Costes!H17</f>
        <v>1242</v>
      </c>
      <c r="I16" s="152">
        <f>Costes!I17</f>
        <v>2427</v>
      </c>
      <c r="J16" s="152">
        <f>Costes!J17</f>
        <v>2643</v>
      </c>
      <c r="K16" s="152">
        <f>Costes!K17</f>
        <v>3108</v>
      </c>
      <c r="L16" s="152">
        <f>Costes!L17</f>
        <v>3168</v>
      </c>
      <c r="M16" s="152">
        <f>Costes!M17</f>
        <v>1797</v>
      </c>
      <c r="N16" s="152">
        <f>Costes!N17</f>
        <v>2052</v>
      </c>
      <c r="O16" s="159">
        <f>SUM(C16:N16)</f>
        <v>19485</v>
      </c>
    </row>
    <row r="17" spans="2:15">
      <c r="B17" s="3" t="s">
        <v>166</v>
      </c>
      <c r="C17" s="152">
        <f>Costes!C18</f>
        <v>0</v>
      </c>
      <c r="D17" s="152">
        <f>Costes!D18</f>
        <v>0</v>
      </c>
      <c r="E17" s="152">
        <f>Costes!E18</f>
        <v>0</v>
      </c>
      <c r="F17" s="152">
        <f>Costes!F18</f>
        <v>0</v>
      </c>
      <c r="G17" s="152">
        <f>Costes!G18</f>
        <v>0</v>
      </c>
      <c r="H17" s="152">
        <f>Costes!H18</f>
        <v>0</v>
      </c>
      <c r="I17" s="152">
        <f>Costes!I18</f>
        <v>0</v>
      </c>
      <c r="J17" s="152">
        <f>Costes!J18</f>
        <v>0</v>
      </c>
      <c r="K17" s="152">
        <f>Costes!K18</f>
        <v>0</v>
      </c>
      <c r="L17" s="152">
        <f>Costes!L18</f>
        <v>0</v>
      </c>
      <c r="M17" s="152">
        <f>Costes!M18</f>
        <v>0</v>
      </c>
      <c r="N17" s="152">
        <f>Costes!N18</f>
        <v>0</v>
      </c>
      <c r="O17" s="159">
        <f t="shared" ref="O17:O26" si="1">SUM(C17:N17)</f>
        <v>0</v>
      </c>
    </row>
    <row r="18" spans="2:15">
      <c r="B18" s="3" t="s">
        <v>48</v>
      </c>
      <c r="C18" s="152">
        <f>Costes!C19</f>
        <v>400</v>
      </c>
      <c r="D18" s="152">
        <f>Costes!D19</f>
        <v>400</v>
      </c>
      <c r="E18" s="152">
        <f>Costes!E19</f>
        <v>400</v>
      </c>
      <c r="F18" s="152">
        <f>Costes!F19</f>
        <v>400</v>
      </c>
      <c r="G18" s="152">
        <f>Costes!G19</f>
        <v>400</v>
      </c>
      <c r="H18" s="152">
        <f>Costes!H19</f>
        <v>400</v>
      </c>
      <c r="I18" s="152">
        <f>Costes!I19</f>
        <v>400</v>
      </c>
      <c r="J18" s="152">
        <f>Costes!J19</f>
        <v>400</v>
      </c>
      <c r="K18" s="152">
        <f>Costes!K19</f>
        <v>400</v>
      </c>
      <c r="L18" s="152">
        <f>Costes!L19</f>
        <v>400</v>
      </c>
      <c r="M18" s="152">
        <f>Costes!M19</f>
        <v>400</v>
      </c>
      <c r="N18" s="152">
        <f>Costes!N19</f>
        <v>400</v>
      </c>
      <c r="O18" s="159">
        <f t="shared" si="1"/>
        <v>4800</v>
      </c>
    </row>
    <row r="19" spans="2:15">
      <c r="B19" s="3" t="s">
        <v>37</v>
      </c>
      <c r="C19" s="152">
        <f>Costes!C20</f>
        <v>90</v>
      </c>
      <c r="D19" s="152">
        <f>Costes!D20</f>
        <v>90</v>
      </c>
      <c r="E19" s="152">
        <f>Costes!E20</f>
        <v>90</v>
      </c>
      <c r="F19" s="152">
        <f>Costes!F20</f>
        <v>90</v>
      </c>
      <c r="G19" s="152">
        <f>Costes!G20</f>
        <v>90</v>
      </c>
      <c r="H19" s="152">
        <f>Costes!H20</f>
        <v>90</v>
      </c>
      <c r="I19" s="152">
        <f>Costes!I20</f>
        <v>90</v>
      </c>
      <c r="J19" s="152">
        <f>Costes!J20</f>
        <v>90</v>
      </c>
      <c r="K19" s="152">
        <f>Costes!K20</f>
        <v>90</v>
      </c>
      <c r="L19" s="152">
        <f>Costes!L20</f>
        <v>90</v>
      </c>
      <c r="M19" s="152">
        <f>Costes!M20</f>
        <v>90</v>
      </c>
      <c r="N19" s="152">
        <f>Costes!N20</f>
        <v>90</v>
      </c>
      <c r="O19" s="159">
        <f t="shared" si="1"/>
        <v>1080</v>
      </c>
    </row>
    <row r="20" spans="2:15">
      <c r="B20" s="3" t="s">
        <v>38</v>
      </c>
      <c r="C20" s="152">
        <f>Costes!C21</f>
        <v>780</v>
      </c>
      <c r="D20" s="152">
        <f>Costes!D21</f>
        <v>780</v>
      </c>
      <c r="E20" s="152">
        <f>Costes!E21</f>
        <v>780</v>
      </c>
      <c r="F20" s="152">
        <f>Costes!F21</f>
        <v>780</v>
      </c>
      <c r="G20" s="152">
        <f>Costes!G21</f>
        <v>780</v>
      </c>
      <c r="H20" s="152">
        <f>Costes!H21</f>
        <v>780</v>
      </c>
      <c r="I20" s="152">
        <f>Costes!I21</f>
        <v>780</v>
      </c>
      <c r="J20" s="152">
        <f>Costes!J21</f>
        <v>780</v>
      </c>
      <c r="K20" s="152">
        <f>Costes!K21</f>
        <v>780</v>
      </c>
      <c r="L20" s="152">
        <f>Costes!L21</f>
        <v>780</v>
      </c>
      <c r="M20" s="152">
        <f>Costes!M21</f>
        <v>780</v>
      </c>
      <c r="N20" s="152">
        <f>Costes!N21</f>
        <v>780</v>
      </c>
      <c r="O20" s="159">
        <f t="shared" si="1"/>
        <v>9360</v>
      </c>
    </row>
    <row r="21" spans="2:15">
      <c r="B21" s="3" t="s">
        <v>158</v>
      </c>
      <c r="C21" s="152">
        <f>Costes!C22</f>
        <v>50</v>
      </c>
      <c r="D21" s="152">
        <f>Costes!D22</f>
        <v>50</v>
      </c>
      <c r="E21" s="152">
        <f>Costes!E22</f>
        <v>50</v>
      </c>
      <c r="F21" s="152">
        <f>Costes!F22</f>
        <v>50</v>
      </c>
      <c r="G21" s="152">
        <f>Costes!G22</f>
        <v>50</v>
      </c>
      <c r="H21" s="152">
        <f>Costes!H22</f>
        <v>50</v>
      </c>
      <c r="I21" s="152">
        <f>Costes!I22</f>
        <v>50</v>
      </c>
      <c r="J21" s="152">
        <f>Costes!J22</f>
        <v>50</v>
      </c>
      <c r="K21" s="152">
        <f>Costes!K22</f>
        <v>50</v>
      </c>
      <c r="L21" s="152">
        <f>Costes!L22</f>
        <v>50</v>
      </c>
      <c r="M21" s="152">
        <f>Costes!M22</f>
        <v>50</v>
      </c>
      <c r="N21" s="152">
        <f>Costes!N22</f>
        <v>50</v>
      </c>
      <c r="O21" s="159">
        <f t="shared" si="1"/>
        <v>600</v>
      </c>
    </row>
    <row r="22" spans="2:15">
      <c r="B22" s="110" t="s">
        <v>159</v>
      </c>
      <c r="C22" s="155">
        <f>Costes!C23</f>
        <v>1825</v>
      </c>
      <c r="D22" s="155">
        <f>Costes!D23</f>
        <v>1825</v>
      </c>
      <c r="E22" s="155">
        <f>Costes!E23</f>
        <v>1825</v>
      </c>
      <c r="F22" s="155">
        <f>Costes!F23</f>
        <v>1825</v>
      </c>
      <c r="G22" s="155">
        <f>Costes!G23</f>
        <v>2800</v>
      </c>
      <c r="H22" s="155">
        <f>Costes!H23</f>
        <v>2800</v>
      </c>
      <c r="I22" s="155">
        <f>Costes!I23</f>
        <v>2800</v>
      </c>
      <c r="J22" s="155">
        <f>Costes!J23</f>
        <v>2800</v>
      </c>
      <c r="K22" s="155">
        <f>Costes!K23</f>
        <v>2800</v>
      </c>
      <c r="L22" s="155">
        <f>Costes!L23</f>
        <v>2800</v>
      </c>
      <c r="M22" s="155">
        <f>Costes!M23</f>
        <v>2800</v>
      </c>
      <c r="N22" s="155">
        <f>Costes!N23</f>
        <v>2800</v>
      </c>
      <c r="O22" s="162">
        <f t="shared" si="1"/>
        <v>29700</v>
      </c>
    </row>
    <row r="23" spans="2:15">
      <c r="B23" s="3" t="s">
        <v>39</v>
      </c>
      <c r="C23" s="152">
        <f>Costes!C24</f>
        <v>172.50000000000003</v>
      </c>
      <c r="D23" s="152">
        <f>Costes!D24</f>
        <v>172.50000000000003</v>
      </c>
      <c r="E23" s="152">
        <f>Costes!E24</f>
        <v>172.50000000000003</v>
      </c>
      <c r="F23" s="152">
        <f>Costes!F24</f>
        <v>172.50000000000003</v>
      </c>
      <c r="G23" s="152">
        <f>Costes!G24</f>
        <v>172.50000000000003</v>
      </c>
      <c r="H23" s="152">
        <f>Costes!H24</f>
        <v>172.50000000000003</v>
      </c>
      <c r="I23" s="152">
        <f>Costes!I24</f>
        <v>172.50000000000003</v>
      </c>
      <c r="J23" s="152">
        <f>Costes!J24</f>
        <v>170.34359029956084</v>
      </c>
      <c r="K23" s="152">
        <f>Costes!K24</f>
        <v>168.17478124334411</v>
      </c>
      <c r="L23" s="152">
        <f>Costes!L24</f>
        <v>165.99350153505415</v>
      </c>
      <c r="M23" s="152">
        <f>Costes!M24</f>
        <v>163.79967946844152</v>
      </c>
      <c r="N23" s="152">
        <f>Costes!N24</f>
        <v>161.59324292494588</v>
      </c>
      <c r="O23" s="159">
        <f t="shared" si="1"/>
        <v>2037.4047954713467</v>
      </c>
    </row>
    <row r="24" spans="2:15">
      <c r="B24" s="3" t="s">
        <v>5</v>
      </c>
      <c r="C24" s="152">
        <f>Costes!C25</f>
        <v>340</v>
      </c>
      <c r="D24" s="152">
        <f>Costes!D25</f>
        <v>340</v>
      </c>
      <c r="E24" s="152">
        <f>Costes!E25</f>
        <v>340</v>
      </c>
      <c r="F24" s="152">
        <f>Costes!F25</f>
        <v>340</v>
      </c>
      <c r="G24" s="152">
        <f>Costes!G25</f>
        <v>340</v>
      </c>
      <c r="H24" s="152">
        <f>Costes!H25</f>
        <v>340</v>
      </c>
      <c r="I24" s="152">
        <f>Costes!I25</f>
        <v>340</v>
      </c>
      <c r="J24" s="152">
        <f>Costes!J25</f>
        <v>340</v>
      </c>
      <c r="K24" s="152">
        <f>Costes!K25</f>
        <v>340</v>
      </c>
      <c r="L24" s="152">
        <f>Costes!L25</f>
        <v>340</v>
      </c>
      <c r="M24" s="152">
        <f>Costes!M25</f>
        <v>340</v>
      </c>
      <c r="N24" s="152">
        <f>Costes!N25</f>
        <v>340</v>
      </c>
      <c r="O24" s="159">
        <f t="shared" si="1"/>
        <v>4080</v>
      </c>
    </row>
    <row r="25" spans="2:15">
      <c r="B25" s="3" t="s">
        <v>40</v>
      </c>
      <c r="C25" s="152">
        <f>Costes!C26</f>
        <v>171.08333333333331</v>
      </c>
      <c r="D25" s="152">
        <f>Costes!D26</f>
        <v>171.08333333333331</v>
      </c>
      <c r="E25" s="152">
        <f>Costes!E26</f>
        <v>171.08333333333331</v>
      </c>
      <c r="F25" s="152">
        <f>Costes!F26</f>
        <v>171.08333333333331</v>
      </c>
      <c r="G25" s="152">
        <f>Costes!G26</f>
        <v>171.08333333333331</v>
      </c>
      <c r="H25" s="152">
        <f>Costes!H26</f>
        <v>171.08333333333331</v>
      </c>
      <c r="I25" s="152">
        <f>Costes!I26</f>
        <v>171.08333333333331</v>
      </c>
      <c r="J25" s="152">
        <f>Costes!J26</f>
        <v>171.08333333333331</v>
      </c>
      <c r="K25" s="152">
        <f>Costes!K26</f>
        <v>171.08333333333331</v>
      </c>
      <c r="L25" s="152">
        <f>Costes!L26</f>
        <v>171.08333333333331</v>
      </c>
      <c r="M25" s="152">
        <f>Costes!M26</f>
        <v>171.08333333333331</v>
      </c>
      <c r="N25" s="152">
        <f>Costes!N26</f>
        <v>171.08333333333331</v>
      </c>
      <c r="O25" s="159">
        <f t="shared" si="1"/>
        <v>2052.9999999999995</v>
      </c>
    </row>
    <row r="26" spans="2:15">
      <c r="B26" s="3" t="s">
        <v>160</v>
      </c>
      <c r="C26" s="152">
        <f>Costes!C27</f>
        <v>0</v>
      </c>
      <c r="D26" s="152">
        <f>Costes!D27</f>
        <v>0</v>
      </c>
      <c r="E26" s="152">
        <f>Costes!E27</f>
        <v>0</v>
      </c>
      <c r="F26" s="152">
        <f>Costes!F27</f>
        <v>0</v>
      </c>
      <c r="G26" s="152">
        <f>Costes!G27</f>
        <v>0</v>
      </c>
      <c r="H26" s="152">
        <f>Costes!H27</f>
        <v>0</v>
      </c>
      <c r="I26" s="152">
        <f>Costes!I27</f>
        <v>0</v>
      </c>
      <c r="J26" s="152">
        <f>Costes!J27</f>
        <v>0</v>
      </c>
      <c r="K26" s="152">
        <f>Costes!K27</f>
        <v>0</v>
      </c>
      <c r="L26" s="152">
        <f>Costes!L27</f>
        <v>0</v>
      </c>
      <c r="M26" s="152">
        <f>Costes!M27</f>
        <v>0</v>
      </c>
      <c r="N26" s="152">
        <f>Costes!N27</f>
        <v>0</v>
      </c>
      <c r="O26" s="159">
        <f t="shared" si="1"/>
        <v>0</v>
      </c>
    </row>
    <row r="27" spans="2:15">
      <c r="B27" s="3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9"/>
    </row>
    <row r="28" spans="2:15">
      <c r="B28" s="47" t="s">
        <v>41</v>
      </c>
      <c r="C28" s="161">
        <f t="shared" ref="C28:O28" si="2">SUM(C16:C27)</f>
        <v>3828.5833333333335</v>
      </c>
      <c r="D28" s="161">
        <f t="shared" si="2"/>
        <v>3888.5833333333335</v>
      </c>
      <c r="E28" s="161">
        <f t="shared" si="2"/>
        <v>4233.583333333333</v>
      </c>
      <c r="F28" s="161">
        <f t="shared" si="2"/>
        <v>4449.583333333333</v>
      </c>
      <c r="G28" s="161">
        <f t="shared" si="2"/>
        <v>6765.583333333333</v>
      </c>
      <c r="H28" s="161">
        <f t="shared" si="2"/>
        <v>6045.583333333333</v>
      </c>
      <c r="I28" s="161">
        <f t="shared" si="2"/>
        <v>7230.583333333333</v>
      </c>
      <c r="J28" s="161">
        <f t="shared" si="2"/>
        <v>7444.4269236328937</v>
      </c>
      <c r="K28" s="161">
        <f t="shared" si="2"/>
        <v>7907.2581145766771</v>
      </c>
      <c r="L28" s="161">
        <f t="shared" si="2"/>
        <v>7965.0768348683869</v>
      </c>
      <c r="M28" s="161">
        <f t="shared" si="2"/>
        <v>6591.8830128017744</v>
      </c>
      <c r="N28" s="161">
        <f t="shared" si="2"/>
        <v>6844.6765762582791</v>
      </c>
      <c r="O28" s="163">
        <f t="shared" si="2"/>
        <v>73195.404795471346</v>
      </c>
    </row>
    <row r="29" spans="2:15">
      <c r="B29" s="50" t="s">
        <v>42</v>
      </c>
      <c r="C29" s="153">
        <f t="shared" ref="C29:O29" si="3">C14-C28</f>
        <v>-3828.5833333333335</v>
      </c>
      <c r="D29" s="153">
        <f t="shared" si="3"/>
        <v>-3648.5833333333335</v>
      </c>
      <c r="E29" s="153">
        <f t="shared" si="3"/>
        <v>-3344.583333333333</v>
      </c>
      <c r="F29" s="153">
        <f t="shared" si="3"/>
        <v>-2612.583333333333</v>
      </c>
      <c r="G29" s="153">
        <f t="shared" si="3"/>
        <v>-583.58333333333303</v>
      </c>
      <c r="H29" s="153">
        <f t="shared" si="3"/>
        <v>-2371.583333333333</v>
      </c>
      <c r="I29" s="153">
        <f t="shared" si="3"/>
        <v>80.41666666666697</v>
      </c>
      <c r="J29" s="153">
        <f t="shared" si="3"/>
        <v>814.5730763671063</v>
      </c>
      <c r="K29" s="153">
        <f t="shared" si="3"/>
        <v>1480.7418854233229</v>
      </c>
      <c r="L29" s="153">
        <f t="shared" si="3"/>
        <v>1662.9231651316131</v>
      </c>
      <c r="M29" s="153">
        <f t="shared" si="3"/>
        <v>-1428.8830128017744</v>
      </c>
      <c r="N29" s="153">
        <f t="shared" si="3"/>
        <v>-302.67657625827906</v>
      </c>
      <c r="O29" s="153">
        <f t="shared" si="3"/>
        <v>-14082.404795471346</v>
      </c>
    </row>
    <row r="30" spans="2:15"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 t="s">
        <v>116</v>
      </c>
      <c r="O30" s="127">
        <f>O29*0.1</f>
        <v>-1408.2404795471348</v>
      </c>
    </row>
    <row r="31" spans="2:15"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 t="s">
        <v>117</v>
      </c>
      <c r="O31" s="127">
        <f>O29-O30</f>
        <v>-12674.164315924212</v>
      </c>
    </row>
  </sheetData>
  <mergeCells count="3">
    <mergeCell ref="B7:O7"/>
    <mergeCell ref="C8:O8"/>
    <mergeCell ref="C15:O15"/>
  </mergeCells>
  <phoneticPr fontId="26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AFDF-4C98-4BCF-849C-5292671C49D9}">
  <dimension ref="B7:O31"/>
  <sheetViews>
    <sheetView zoomScale="110" zoomScaleNormal="110" workbookViewId="0">
      <selection activeCell="B7" sqref="B7:O10"/>
    </sheetView>
  </sheetViews>
  <sheetFormatPr baseColWidth="10" defaultRowHeight="15"/>
  <cols>
    <col min="1" max="1" width="14.7109375" customWidth="1"/>
    <col min="2" max="2" width="27.28515625" bestFit="1" customWidth="1"/>
    <col min="3" max="14" width="10.85546875" bestFit="1" customWidth="1"/>
    <col min="15" max="15" width="11.85546875" bestFit="1" customWidth="1"/>
    <col min="16" max="16" width="23.42578125" bestFit="1" customWidth="1"/>
    <col min="17" max="17" width="21.42578125" bestFit="1" customWidth="1"/>
    <col min="18" max="18" width="23.42578125" bestFit="1" customWidth="1"/>
    <col min="19" max="19" width="21.28515625" bestFit="1" customWidth="1"/>
    <col min="20" max="20" width="20.85546875" bestFit="1" customWidth="1"/>
    <col min="21" max="21" width="15.42578125" bestFit="1" customWidth="1"/>
    <col min="256" max="256" width="14.7109375" customWidth="1"/>
    <col min="257" max="257" width="26.42578125" customWidth="1"/>
    <col min="258" max="270" width="7.42578125" customWidth="1"/>
    <col min="512" max="512" width="14.7109375" customWidth="1"/>
    <col min="513" max="513" width="26.42578125" customWidth="1"/>
    <col min="514" max="526" width="7.42578125" customWidth="1"/>
    <col min="768" max="768" width="14.7109375" customWidth="1"/>
    <col min="769" max="769" width="26.42578125" customWidth="1"/>
    <col min="770" max="782" width="7.42578125" customWidth="1"/>
    <col min="1024" max="1024" width="14.7109375" customWidth="1"/>
    <col min="1025" max="1025" width="26.42578125" customWidth="1"/>
    <col min="1026" max="1038" width="7.42578125" customWidth="1"/>
    <col min="1280" max="1280" width="14.7109375" customWidth="1"/>
    <col min="1281" max="1281" width="26.42578125" customWidth="1"/>
    <col min="1282" max="1294" width="7.42578125" customWidth="1"/>
    <col min="1536" max="1536" width="14.7109375" customWidth="1"/>
    <col min="1537" max="1537" width="26.42578125" customWidth="1"/>
    <col min="1538" max="1550" width="7.42578125" customWidth="1"/>
    <col min="1792" max="1792" width="14.7109375" customWidth="1"/>
    <col min="1793" max="1793" width="26.42578125" customWidth="1"/>
    <col min="1794" max="1806" width="7.42578125" customWidth="1"/>
    <col min="2048" max="2048" width="14.7109375" customWidth="1"/>
    <col min="2049" max="2049" width="26.42578125" customWidth="1"/>
    <col min="2050" max="2062" width="7.42578125" customWidth="1"/>
    <col min="2304" max="2304" width="14.7109375" customWidth="1"/>
    <col min="2305" max="2305" width="26.42578125" customWidth="1"/>
    <col min="2306" max="2318" width="7.42578125" customWidth="1"/>
    <col min="2560" max="2560" width="14.7109375" customWidth="1"/>
    <col min="2561" max="2561" width="26.42578125" customWidth="1"/>
    <col min="2562" max="2574" width="7.42578125" customWidth="1"/>
    <col min="2816" max="2816" width="14.7109375" customWidth="1"/>
    <col min="2817" max="2817" width="26.42578125" customWidth="1"/>
    <col min="2818" max="2830" width="7.42578125" customWidth="1"/>
    <col min="3072" max="3072" width="14.7109375" customWidth="1"/>
    <col min="3073" max="3073" width="26.42578125" customWidth="1"/>
    <col min="3074" max="3086" width="7.42578125" customWidth="1"/>
    <col min="3328" max="3328" width="14.7109375" customWidth="1"/>
    <col min="3329" max="3329" width="26.42578125" customWidth="1"/>
    <col min="3330" max="3342" width="7.42578125" customWidth="1"/>
    <col min="3584" max="3584" width="14.7109375" customWidth="1"/>
    <col min="3585" max="3585" width="26.42578125" customWidth="1"/>
    <col min="3586" max="3598" width="7.42578125" customWidth="1"/>
    <col min="3840" max="3840" width="14.7109375" customWidth="1"/>
    <col min="3841" max="3841" width="26.42578125" customWidth="1"/>
    <col min="3842" max="3854" width="7.42578125" customWidth="1"/>
    <col min="4096" max="4096" width="14.7109375" customWidth="1"/>
    <col min="4097" max="4097" width="26.42578125" customWidth="1"/>
    <col min="4098" max="4110" width="7.42578125" customWidth="1"/>
    <col min="4352" max="4352" width="14.7109375" customWidth="1"/>
    <col min="4353" max="4353" width="26.42578125" customWidth="1"/>
    <col min="4354" max="4366" width="7.42578125" customWidth="1"/>
    <col min="4608" max="4608" width="14.7109375" customWidth="1"/>
    <col min="4609" max="4609" width="26.42578125" customWidth="1"/>
    <col min="4610" max="4622" width="7.42578125" customWidth="1"/>
    <col min="4864" max="4864" width="14.7109375" customWidth="1"/>
    <col min="4865" max="4865" width="26.42578125" customWidth="1"/>
    <col min="4866" max="4878" width="7.42578125" customWidth="1"/>
    <col min="5120" max="5120" width="14.7109375" customWidth="1"/>
    <col min="5121" max="5121" width="26.42578125" customWidth="1"/>
    <col min="5122" max="5134" width="7.42578125" customWidth="1"/>
    <col min="5376" max="5376" width="14.7109375" customWidth="1"/>
    <col min="5377" max="5377" width="26.42578125" customWidth="1"/>
    <col min="5378" max="5390" width="7.42578125" customWidth="1"/>
    <col min="5632" max="5632" width="14.7109375" customWidth="1"/>
    <col min="5633" max="5633" width="26.42578125" customWidth="1"/>
    <col min="5634" max="5646" width="7.42578125" customWidth="1"/>
    <col min="5888" max="5888" width="14.7109375" customWidth="1"/>
    <col min="5889" max="5889" width="26.42578125" customWidth="1"/>
    <col min="5890" max="5902" width="7.42578125" customWidth="1"/>
    <col min="6144" max="6144" width="14.7109375" customWidth="1"/>
    <col min="6145" max="6145" width="26.42578125" customWidth="1"/>
    <col min="6146" max="6158" width="7.42578125" customWidth="1"/>
    <col min="6400" max="6400" width="14.7109375" customWidth="1"/>
    <col min="6401" max="6401" width="26.42578125" customWidth="1"/>
    <col min="6402" max="6414" width="7.42578125" customWidth="1"/>
    <col min="6656" max="6656" width="14.7109375" customWidth="1"/>
    <col min="6657" max="6657" width="26.42578125" customWidth="1"/>
    <col min="6658" max="6670" width="7.42578125" customWidth="1"/>
    <col min="6912" max="6912" width="14.7109375" customWidth="1"/>
    <col min="6913" max="6913" width="26.42578125" customWidth="1"/>
    <col min="6914" max="6926" width="7.42578125" customWidth="1"/>
    <col min="7168" max="7168" width="14.7109375" customWidth="1"/>
    <col min="7169" max="7169" width="26.42578125" customWidth="1"/>
    <col min="7170" max="7182" width="7.42578125" customWidth="1"/>
    <col min="7424" max="7424" width="14.7109375" customWidth="1"/>
    <col min="7425" max="7425" width="26.42578125" customWidth="1"/>
    <col min="7426" max="7438" width="7.42578125" customWidth="1"/>
    <col min="7680" max="7680" width="14.7109375" customWidth="1"/>
    <col min="7681" max="7681" width="26.42578125" customWidth="1"/>
    <col min="7682" max="7694" width="7.42578125" customWidth="1"/>
    <col min="7936" max="7936" width="14.7109375" customWidth="1"/>
    <col min="7937" max="7937" width="26.42578125" customWidth="1"/>
    <col min="7938" max="7950" width="7.42578125" customWidth="1"/>
    <col min="8192" max="8192" width="14.7109375" customWidth="1"/>
    <col min="8193" max="8193" width="26.42578125" customWidth="1"/>
    <col min="8194" max="8206" width="7.42578125" customWidth="1"/>
    <col min="8448" max="8448" width="14.7109375" customWidth="1"/>
    <col min="8449" max="8449" width="26.42578125" customWidth="1"/>
    <col min="8450" max="8462" width="7.42578125" customWidth="1"/>
    <col min="8704" max="8704" width="14.7109375" customWidth="1"/>
    <col min="8705" max="8705" width="26.42578125" customWidth="1"/>
    <col min="8706" max="8718" width="7.42578125" customWidth="1"/>
    <col min="8960" max="8960" width="14.7109375" customWidth="1"/>
    <col min="8961" max="8961" width="26.42578125" customWidth="1"/>
    <col min="8962" max="8974" width="7.42578125" customWidth="1"/>
    <col min="9216" max="9216" width="14.7109375" customWidth="1"/>
    <col min="9217" max="9217" width="26.42578125" customWidth="1"/>
    <col min="9218" max="9230" width="7.42578125" customWidth="1"/>
    <col min="9472" max="9472" width="14.7109375" customWidth="1"/>
    <col min="9473" max="9473" width="26.42578125" customWidth="1"/>
    <col min="9474" max="9486" width="7.42578125" customWidth="1"/>
    <col min="9728" max="9728" width="14.7109375" customWidth="1"/>
    <col min="9729" max="9729" width="26.42578125" customWidth="1"/>
    <col min="9730" max="9742" width="7.42578125" customWidth="1"/>
    <col min="9984" max="9984" width="14.7109375" customWidth="1"/>
    <col min="9985" max="9985" width="26.42578125" customWidth="1"/>
    <col min="9986" max="9998" width="7.42578125" customWidth="1"/>
    <col min="10240" max="10240" width="14.7109375" customWidth="1"/>
    <col min="10241" max="10241" width="26.42578125" customWidth="1"/>
    <col min="10242" max="10254" width="7.42578125" customWidth="1"/>
    <col min="10496" max="10496" width="14.7109375" customWidth="1"/>
    <col min="10497" max="10497" width="26.42578125" customWidth="1"/>
    <col min="10498" max="10510" width="7.42578125" customWidth="1"/>
    <col min="10752" max="10752" width="14.7109375" customWidth="1"/>
    <col min="10753" max="10753" width="26.42578125" customWidth="1"/>
    <col min="10754" max="10766" width="7.42578125" customWidth="1"/>
    <col min="11008" max="11008" width="14.7109375" customWidth="1"/>
    <col min="11009" max="11009" width="26.42578125" customWidth="1"/>
    <col min="11010" max="11022" width="7.42578125" customWidth="1"/>
    <col min="11264" max="11264" width="14.7109375" customWidth="1"/>
    <col min="11265" max="11265" width="26.42578125" customWidth="1"/>
    <col min="11266" max="11278" width="7.42578125" customWidth="1"/>
    <col min="11520" max="11520" width="14.7109375" customWidth="1"/>
    <col min="11521" max="11521" width="26.42578125" customWidth="1"/>
    <col min="11522" max="11534" width="7.42578125" customWidth="1"/>
    <col min="11776" max="11776" width="14.7109375" customWidth="1"/>
    <col min="11777" max="11777" width="26.42578125" customWidth="1"/>
    <col min="11778" max="11790" width="7.42578125" customWidth="1"/>
    <col min="12032" max="12032" width="14.7109375" customWidth="1"/>
    <col min="12033" max="12033" width="26.42578125" customWidth="1"/>
    <col min="12034" max="12046" width="7.42578125" customWidth="1"/>
    <col min="12288" max="12288" width="14.7109375" customWidth="1"/>
    <col min="12289" max="12289" width="26.42578125" customWidth="1"/>
    <col min="12290" max="12302" width="7.42578125" customWidth="1"/>
    <col min="12544" max="12544" width="14.7109375" customWidth="1"/>
    <col min="12545" max="12545" width="26.42578125" customWidth="1"/>
    <col min="12546" max="12558" width="7.42578125" customWidth="1"/>
    <col min="12800" max="12800" width="14.7109375" customWidth="1"/>
    <col min="12801" max="12801" width="26.42578125" customWidth="1"/>
    <col min="12802" max="12814" width="7.42578125" customWidth="1"/>
    <col min="13056" max="13056" width="14.7109375" customWidth="1"/>
    <col min="13057" max="13057" width="26.42578125" customWidth="1"/>
    <col min="13058" max="13070" width="7.42578125" customWidth="1"/>
    <col min="13312" max="13312" width="14.7109375" customWidth="1"/>
    <col min="13313" max="13313" width="26.42578125" customWidth="1"/>
    <col min="13314" max="13326" width="7.42578125" customWidth="1"/>
    <col min="13568" max="13568" width="14.7109375" customWidth="1"/>
    <col min="13569" max="13569" width="26.42578125" customWidth="1"/>
    <col min="13570" max="13582" width="7.42578125" customWidth="1"/>
    <col min="13824" max="13824" width="14.7109375" customWidth="1"/>
    <col min="13825" max="13825" width="26.42578125" customWidth="1"/>
    <col min="13826" max="13838" width="7.42578125" customWidth="1"/>
    <col min="14080" max="14080" width="14.7109375" customWidth="1"/>
    <col min="14081" max="14081" width="26.42578125" customWidth="1"/>
    <col min="14082" max="14094" width="7.42578125" customWidth="1"/>
    <col min="14336" max="14336" width="14.7109375" customWidth="1"/>
    <col min="14337" max="14337" width="26.42578125" customWidth="1"/>
    <col min="14338" max="14350" width="7.42578125" customWidth="1"/>
    <col min="14592" max="14592" width="14.7109375" customWidth="1"/>
    <col min="14593" max="14593" width="26.42578125" customWidth="1"/>
    <col min="14594" max="14606" width="7.42578125" customWidth="1"/>
    <col min="14848" max="14848" width="14.7109375" customWidth="1"/>
    <col min="14849" max="14849" width="26.42578125" customWidth="1"/>
    <col min="14850" max="14862" width="7.42578125" customWidth="1"/>
    <col min="15104" max="15104" width="14.7109375" customWidth="1"/>
    <col min="15105" max="15105" width="26.42578125" customWidth="1"/>
    <col min="15106" max="15118" width="7.42578125" customWidth="1"/>
    <col min="15360" max="15360" width="14.7109375" customWidth="1"/>
    <col min="15361" max="15361" width="26.42578125" customWidth="1"/>
    <col min="15362" max="15374" width="7.42578125" customWidth="1"/>
    <col min="15616" max="15616" width="14.7109375" customWidth="1"/>
    <col min="15617" max="15617" width="26.42578125" customWidth="1"/>
    <col min="15618" max="15630" width="7.42578125" customWidth="1"/>
    <col min="15872" max="15872" width="14.7109375" customWidth="1"/>
    <col min="15873" max="15873" width="26.42578125" customWidth="1"/>
    <col min="15874" max="15886" width="7.42578125" customWidth="1"/>
    <col min="16128" max="16128" width="14.7109375" customWidth="1"/>
    <col min="16129" max="16129" width="26.42578125" customWidth="1"/>
    <col min="16130" max="16142" width="7.42578125" customWidth="1"/>
  </cols>
  <sheetData>
    <row r="7" spans="2:15">
      <c r="B7" s="180" t="s">
        <v>217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2"/>
    </row>
    <row r="8" spans="2:15">
      <c r="B8" s="47" t="s">
        <v>6</v>
      </c>
      <c r="C8" s="183" t="s">
        <v>16</v>
      </c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4"/>
    </row>
    <row r="9" spans="2:15">
      <c r="B9" s="48"/>
      <c r="C9" s="48" t="s">
        <v>17</v>
      </c>
      <c r="D9" s="48" t="s">
        <v>18</v>
      </c>
      <c r="E9" s="48" t="s">
        <v>19</v>
      </c>
      <c r="F9" s="48" t="s">
        <v>20</v>
      </c>
      <c r="G9" s="48" t="s">
        <v>21</v>
      </c>
      <c r="H9" s="48" t="s">
        <v>22</v>
      </c>
      <c r="I9" s="48" t="s">
        <v>23</v>
      </c>
      <c r="J9" s="48" t="s">
        <v>24</v>
      </c>
      <c r="K9" s="48" t="s">
        <v>25</v>
      </c>
      <c r="L9" s="48" t="s">
        <v>26</v>
      </c>
      <c r="M9" s="48" t="s">
        <v>27</v>
      </c>
      <c r="N9" s="48" t="s">
        <v>28</v>
      </c>
      <c r="O9" s="49" t="s">
        <v>15</v>
      </c>
    </row>
    <row r="10" spans="2:15">
      <c r="B10" s="47" t="s">
        <v>29</v>
      </c>
      <c r="C10" s="106">
        <f>Costes!O11</f>
        <v>46631</v>
      </c>
      <c r="D10" s="106">
        <f>Costes!P11</f>
        <v>46661</v>
      </c>
      <c r="E10" s="106">
        <f>Costes!Q11</f>
        <v>46692</v>
      </c>
      <c r="F10" s="106">
        <f>Costes!R11</f>
        <v>46722</v>
      </c>
      <c r="G10" s="106">
        <f>Costes!S11</f>
        <v>46753</v>
      </c>
      <c r="H10" s="106">
        <f>Costes!T11</f>
        <v>46784</v>
      </c>
      <c r="I10" s="106">
        <f>Costes!U11</f>
        <v>46813</v>
      </c>
      <c r="J10" s="106">
        <f>Costes!V11</f>
        <v>46844</v>
      </c>
      <c r="K10" s="106">
        <f>Costes!W11</f>
        <v>46874</v>
      </c>
      <c r="L10" s="106">
        <f>Costes!X11</f>
        <v>46905</v>
      </c>
      <c r="M10" s="106">
        <f>Costes!Y11</f>
        <v>46935</v>
      </c>
      <c r="N10" s="106">
        <f>Costes!Z11</f>
        <v>46966</v>
      </c>
      <c r="O10" s="107"/>
    </row>
    <row r="11" spans="2:15">
      <c r="B11" s="3" t="s">
        <v>30</v>
      </c>
      <c r="C11" s="152">
        <f>Ventas!O29</f>
        <v>2077</v>
      </c>
      <c r="D11" s="152">
        <f>Ventas!P29</f>
        <v>5954</v>
      </c>
      <c r="E11" s="152">
        <f>Ventas!Q29</f>
        <v>3855</v>
      </c>
      <c r="F11" s="152">
        <f>Ventas!R29</f>
        <v>8908</v>
      </c>
      <c r="G11" s="152">
        <f>Ventas!S29</f>
        <v>13493</v>
      </c>
      <c r="H11" s="152">
        <f>Ventas!T29</f>
        <v>8237</v>
      </c>
      <c r="I11" s="152">
        <f>Ventas!U29</f>
        <v>14862</v>
      </c>
      <c r="J11" s="152">
        <f>Ventas!V29</f>
        <v>12354</v>
      </c>
      <c r="K11" s="152">
        <f>Ventas!W29</f>
        <v>15822</v>
      </c>
      <c r="L11" s="152">
        <f>Ventas!X29</f>
        <v>12114</v>
      </c>
      <c r="M11" s="152">
        <f>Ventas!Y29</f>
        <v>9988</v>
      </c>
      <c r="N11" s="152">
        <f>Ventas!Z29</f>
        <v>7022</v>
      </c>
      <c r="O11" s="159">
        <f>SUM(C11:N11)</f>
        <v>114686</v>
      </c>
    </row>
    <row r="12" spans="2:15">
      <c r="B12" s="3" t="s">
        <v>31</v>
      </c>
      <c r="C12" s="152"/>
      <c r="D12" s="152"/>
      <c r="E12" s="152"/>
      <c r="F12" s="152"/>
      <c r="G12" s="152"/>
      <c r="H12" s="152"/>
      <c r="I12" s="152"/>
      <c r="J12" s="152"/>
      <c r="K12" s="152"/>
      <c r="L12" s="81"/>
      <c r="M12" s="81"/>
      <c r="N12" s="160"/>
      <c r="O12" s="159">
        <v>0</v>
      </c>
    </row>
    <row r="13" spans="2:15">
      <c r="B13" s="3" t="s">
        <v>32</v>
      </c>
      <c r="C13" s="152"/>
      <c r="D13" s="152"/>
      <c r="E13" s="152"/>
      <c r="F13" s="152"/>
      <c r="G13" s="152"/>
      <c r="H13" s="152"/>
      <c r="I13" s="152"/>
      <c r="J13" s="152"/>
      <c r="K13" s="152"/>
      <c r="L13" s="81"/>
      <c r="M13" s="81"/>
      <c r="N13" s="160"/>
      <c r="O13" s="159">
        <v>0</v>
      </c>
    </row>
    <row r="14" spans="2:15">
      <c r="B14" s="47" t="s">
        <v>33</v>
      </c>
      <c r="C14" s="161">
        <f>SUM(C11:C13)</f>
        <v>2077</v>
      </c>
      <c r="D14" s="161">
        <f>SUM(D11:D13)</f>
        <v>5954</v>
      </c>
      <c r="E14" s="161">
        <f t="shared" ref="E14:N14" si="0">SUM(E11:E13)</f>
        <v>3855</v>
      </c>
      <c r="F14" s="161">
        <f t="shared" si="0"/>
        <v>8908</v>
      </c>
      <c r="G14" s="161">
        <f t="shared" si="0"/>
        <v>13493</v>
      </c>
      <c r="H14" s="161">
        <f t="shared" si="0"/>
        <v>8237</v>
      </c>
      <c r="I14" s="161">
        <f t="shared" si="0"/>
        <v>14862</v>
      </c>
      <c r="J14" s="161">
        <f t="shared" si="0"/>
        <v>12354</v>
      </c>
      <c r="K14" s="161">
        <f t="shared" si="0"/>
        <v>15822</v>
      </c>
      <c r="L14" s="161">
        <f t="shared" si="0"/>
        <v>12114</v>
      </c>
      <c r="M14" s="161">
        <f t="shared" si="0"/>
        <v>9988</v>
      </c>
      <c r="N14" s="161">
        <f t="shared" si="0"/>
        <v>7022</v>
      </c>
      <c r="O14" s="161">
        <f>SUM(O11:O13)</f>
        <v>114686</v>
      </c>
    </row>
    <row r="15" spans="2:15">
      <c r="B15" s="47" t="s">
        <v>34</v>
      </c>
      <c r="C15" s="185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7"/>
    </row>
    <row r="16" spans="2:15">
      <c r="B16" s="3" t="s">
        <v>35</v>
      </c>
      <c r="C16" s="152">
        <f>Costes!O17</f>
        <v>681</v>
      </c>
      <c r="D16" s="152">
        <f>Costes!P17</f>
        <v>1926</v>
      </c>
      <c r="E16" s="152">
        <f>Costes!Q17</f>
        <v>1491</v>
      </c>
      <c r="F16" s="152">
        <f>Costes!R17</f>
        <v>2988</v>
      </c>
      <c r="G16" s="152">
        <f>Costes!S17</f>
        <v>4389</v>
      </c>
      <c r="H16" s="152">
        <f>Costes!T17</f>
        <v>2889</v>
      </c>
      <c r="I16" s="152">
        <f>Costes!U17</f>
        <v>4914</v>
      </c>
      <c r="J16" s="152">
        <f>Costes!V17</f>
        <v>4194</v>
      </c>
      <c r="K16" s="152">
        <f>Costes!W17</f>
        <v>5154</v>
      </c>
      <c r="L16" s="152">
        <f>Costes!X17</f>
        <v>4134</v>
      </c>
      <c r="M16" s="152">
        <f>Costes!Y17</f>
        <v>3258</v>
      </c>
      <c r="N16" s="152">
        <f>Costes!Z17</f>
        <v>2172</v>
      </c>
      <c r="O16" s="159">
        <f>SUM(C16:N16)</f>
        <v>38190</v>
      </c>
    </row>
    <row r="17" spans="2:15">
      <c r="B17" s="3" t="s">
        <v>166</v>
      </c>
      <c r="C17" s="152">
        <f>Costes!O18</f>
        <v>0</v>
      </c>
      <c r="D17" s="152">
        <f>Costes!P18</f>
        <v>0</v>
      </c>
      <c r="E17" s="152">
        <f>Costes!Q18</f>
        <v>0</v>
      </c>
      <c r="F17" s="152">
        <f>Costes!R18</f>
        <v>0</v>
      </c>
      <c r="G17" s="152">
        <f>Costes!S18</f>
        <v>0</v>
      </c>
      <c r="H17" s="152">
        <f>Costes!T18</f>
        <v>0</v>
      </c>
      <c r="I17" s="152">
        <f>Costes!U18</f>
        <v>0</v>
      </c>
      <c r="J17" s="152">
        <f>Costes!V18</f>
        <v>0</v>
      </c>
      <c r="K17" s="152">
        <f>Costes!W18</f>
        <v>0</v>
      </c>
      <c r="L17" s="152">
        <f>Costes!X18</f>
        <v>0</v>
      </c>
      <c r="M17" s="152">
        <f>Costes!Y18</f>
        <v>0</v>
      </c>
      <c r="N17" s="152">
        <f>Costes!Z18</f>
        <v>0</v>
      </c>
      <c r="O17" s="159">
        <f t="shared" ref="O17:O26" si="1">SUM(C17:N17)</f>
        <v>0</v>
      </c>
    </row>
    <row r="18" spans="2:15">
      <c r="B18" s="3" t="s">
        <v>48</v>
      </c>
      <c r="C18" s="152">
        <f>Costes!O19</f>
        <v>400</v>
      </c>
      <c r="D18" s="152">
        <f>Costes!P19</f>
        <v>400</v>
      </c>
      <c r="E18" s="152">
        <f>Costes!Q19</f>
        <v>400</v>
      </c>
      <c r="F18" s="152">
        <f>Costes!R19</f>
        <v>400</v>
      </c>
      <c r="G18" s="152">
        <f>Costes!S19</f>
        <v>400</v>
      </c>
      <c r="H18" s="152">
        <f>Costes!T19</f>
        <v>400</v>
      </c>
      <c r="I18" s="152">
        <f>Costes!U19</f>
        <v>400</v>
      </c>
      <c r="J18" s="152">
        <f>Costes!V19</f>
        <v>400</v>
      </c>
      <c r="K18" s="152">
        <f>Costes!W19</f>
        <v>400</v>
      </c>
      <c r="L18" s="152">
        <f>Costes!X19</f>
        <v>400</v>
      </c>
      <c r="M18" s="152">
        <f>Costes!Y19</f>
        <v>400</v>
      </c>
      <c r="N18" s="152">
        <f>Costes!Z19</f>
        <v>400</v>
      </c>
      <c r="O18" s="159">
        <f t="shared" si="1"/>
        <v>4800</v>
      </c>
    </row>
    <row r="19" spans="2:15">
      <c r="B19" s="3" t="s">
        <v>37</v>
      </c>
      <c r="C19" s="152">
        <f>Costes!O20</f>
        <v>90</v>
      </c>
      <c r="D19" s="152">
        <f>Costes!P20</f>
        <v>90</v>
      </c>
      <c r="E19" s="152">
        <f>Costes!Q20</f>
        <v>90</v>
      </c>
      <c r="F19" s="152">
        <f>Costes!R20</f>
        <v>90</v>
      </c>
      <c r="G19" s="152">
        <f>Costes!S20</f>
        <v>90</v>
      </c>
      <c r="H19" s="152">
        <f>Costes!T20</f>
        <v>90</v>
      </c>
      <c r="I19" s="152">
        <f>Costes!U20</f>
        <v>90</v>
      </c>
      <c r="J19" s="152">
        <f>Costes!V20</f>
        <v>90</v>
      </c>
      <c r="K19" s="152">
        <f>Costes!W20</f>
        <v>90</v>
      </c>
      <c r="L19" s="152">
        <f>Costes!X20</f>
        <v>90</v>
      </c>
      <c r="M19" s="152">
        <f>Costes!Y20</f>
        <v>90</v>
      </c>
      <c r="N19" s="152">
        <f>Costes!Z20</f>
        <v>90</v>
      </c>
      <c r="O19" s="159">
        <f t="shared" si="1"/>
        <v>1080</v>
      </c>
    </row>
    <row r="20" spans="2:15">
      <c r="B20" s="3" t="s">
        <v>38</v>
      </c>
      <c r="C20" s="152">
        <f>Costes!O21</f>
        <v>780</v>
      </c>
      <c r="D20" s="152">
        <f>Costes!P21</f>
        <v>780</v>
      </c>
      <c r="E20" s="152">
        <f>Costes!Q21</f>
        <v>780</v>
      </c>
      <c r="F20" s="152">
        <f>Costes!R21</f>
        <v>780</v>
      </c>
      <c r="G20" s="152">
        <f>Costes!S21</f>
        <v>780</v>
      </c>
      <c r="H20" s="152">
        <f>Costes!T21</f>
        <v>780</v>
      </c>
      <c r="I20" s="152">
        <f>Costes!U21</f>
        <v>780</v>
      </c>
      <c r="J20" s="152">
        <f>Costes!V21</f>
        <v>780</v>
      </c>
      <c r="K20" s="152">
        <f>Costes!W21</f>
        <v>780</v>
      </c>
      <c r="L20" s="152">
        <f>Costes!X21</f>
        <v>780</v>
      </c>
      <c r="M20" s="152">
        <f>Costes!Y21</f>
        <v>780</v>
      </c>
      <c r="N20" s="152">
        <f>Costes!Z21</f>
        <v>780</v>
      </c>
      <c r="O20" s="159">
        <f t="shared" si="1"/>
        <v>9360</v>
      </c>
    </row>
    <row r="21" spans="2:15">
      <c r="B21" s="3" t="s">
        <v>158</v>
      </c>
      <c r="C21" s="152">
        <f>Costes!O22</f>
        <v>50</v>
      </c>
      <c r="D21" s="152">
        <f>Costes!P22</f>
        <v>50</v>
      </c>
      <c r="E21" s="152">
        <f>Costes!Q22</f>
        <v>50</v>
      </c>
      <c r="F21" s="152">
        <f>Costes!R22</f>
        <v>50</v>
      </c>
      <c r="G21" s="152">
        <f>Costes!S22</f>
        <v>50</v>
      </c>
      <c r="H21" s="152">
        <f>Costes!T22</f>
        <v>50</v>
      </c>
      <c r="I21" s="152">
        <f>Costes!U22</f>
        <v>50</v>
      </c>
      <c r="J21" s="152">
        <f>Costes!V22</f>
        <v>50</v>
      </c>
      <c r="K21" s="152">
        <f>Costes!W22</f>
        <v>50</v>
      </c>
      <c r="L21" s="152">
        <f>Costes!X22</f>
        <v>50</v>
      </c>
      <c r="M21" s="152">
        <f>Costes!Y22</f>
        <v>50</v>
      </c>
      <c r="N21" s="152">
        <f>Costes!Z22</f>
        <v>50</v>
      </c>
      <c r="O21" s="159">
        <f t="shared" si="1"/>
        <v>600</v>
      </c>
    </row>
    <row r="22" spans="2:15">
      <c r="B22" s="110" t="s">
        <v>159</v>
      </c>
      <c r="C22" s="155">
        <f>Costes!O23</f>
        <v>2800</v>
      </c>
      <c r="D22" s="155">
        <f>Costes!P23</f>
        <v>2800</v>
      </c>
      <c r="E22" s="155">
        <f>Costes!Q23</f>
        <v>2800</v>
      </c>
      <c r="F22" s="155">
        <f>Costes!R23</f>
        <v>2800</v>
      </c>
      <c r="G22" s="155">
        <f>Costes!S23</f>
        <v>3775</v>
      </c>
      <c r="H22" s="155">
        <f>Costes!T23</f>
        <v>3775</v>
      </c>
      <c r="I22" s="155">
        <f>Costes!U23</f>
        <v>3775</v>
      </c>
      <c r="J22" s="155">
        <f>Costes!V23</f>
        <v>3775</v>
      </c>
      <c r="K22" s="155">
        <f>Costes!W23</f>
        <v>3775</v>
      </c>
      <c r="L22" s="155">
        <f>Costes!X23</f>
        <v>3775</v>
      </c>
      <c r="M22" s="155">
        <f>Costes!Y23</f>
        <v>3775</v>
      </c>
      <c r="N22" s="155">
        <f>Costes!Z23</f>
        <v>3775</v>
      </c>
      <c r="O22" s="162">
        <f t="shared" si="1"/>
        <v>41400</v>
      </c>
    </row>
    <row r="23" spans="2:15">
      <c r="B23" s="3" t="s">
        <v>39</v>
      </c>
      <c r="C23" s="152">
        <f>Costes!O24</f>
        <v>159.37411937132512</v>
      </c>
      <c r="D23" s="152">
        <f>Costes!P24</f>
        <v>157.14223585727106</v>
      </c>
      <c r="E23" s="152">
        <f>Costes!Q24</f>
        <v>154.89751901301119</v>
      </c>
      <c r="F23" s="152">
        <f>Costes!R24</f>
        <v>152.63989504689684</v>
      </c>
      <c r="G23" s="152">
        <f>Costes!S24</f>
        <v>150.36928974297732</v>
      </c>
      <c r="H23" s="152">
        <f>Costes!T24</f>
        <v>148.08562845856025</v>
      </c>
      <c r="I23" s="152">
        <f>Costes!U24</f>
        <v>145.78883612175778</v>
      </c>
      <c r="J23" s="152">
        <f>Costes!V24</f>
        <v>143.47883722901869</v>
      </c>
      <c r="K23" s="152">
        <f>Costes!W24</f>
        <v>141.15555584264635</v>
      </c>
      <c r="L23" s="152">
        <f>Costes!X24</f>
        <v>138.81891558830239</v>
      </c>
      <c r="M23" s="152">
        <f>Costes!Y24</f>
        <v>136.46883965249594</v>
      </c>
      <c r="N23" s="152">
        <f>Costes!Z24</f>
        <v>134.10525078005861</v>
      </c>
      <c r="O23" s="159">
        <f t="shared" si="1"/>
        <v>1762.3249227043216</v>
      </c>
    </row>
    <row r="24" spans="2:15">
      <c r="B24" s="3" t="s">
        <v>5</v>
      </c>
      <c r="C24" s="152">
        <f>Costes!O25</f>
        <v>340</v>
      </c>
      <c r="D24" s="152">
        <f>Costes!P25</f>
        <v>340</v>
      </c>
      <c r="E24" s="152">
        <f>Costes!Q25</f>
        <v>340</v>
      </c>
      <c r="F24" s="152">
        <f>Costes!R25</f>
        <v>340</v>
      </c>
      <c r="G24" s="152">
        <f>Costes!S25</f>
        <v>340</v>
      </c>
      <c r="H24" s="152">
        <f>Costes!T25</f>
        <v>340</v>
      </c>
      <c r="I24" s="152">
        <f>Costes!U25</f>
        <v>340</v>
      </c>
      <c r="J24" s="152">
        <f>Costes!V25</f>
        <v>340</v>
      </c>
      <c r="K24" s="152">
        <f>Costes!W25</f>
        <v>340</v>
      </c>
      <c r="L24" s="152">
        <f>Costes!X25</f>
        <v>340</v>
      </c>
      <c r="M24" s="152">
        <f>Costes!Y25</f>
        <v>340</v>
      </c>
      <c r="N24" s="152">
        <f>Costes!Z25</f>
        <v>340</v>
      </c>
      <c r="O24" s="159">
        <f t="shared" si="1"/>
        <v>4080</v>
      </c>
    </row>
    <row r="25" spans="2:15">
      <c r="B25" s="3" t="s">
        <v>40</v>
      </c>
      <c r="C25" s="152">
        <f>Costes!O26</f>
        <v>171.08333333333331</v>
      </c>
      <c r="D25" s="152">
        <f>Costes!P26</f>
        <v>171.08333333333331</v>
      </c>
      <c r="E25" s="152">
        <f>Costes!Q26</f>
        <v>171.08333333333331</v>
      </c>
      <c r="F25" s="152">
        <f>Costes!R26</f>
        <v>171.08333333333331</v>
      </c>
      <c r="G25" s="152">
        <f>Costes!S26</f>
        <v>171.08333333333331</v>
      </c>
      <c r="H25" s="152">
        <f>Costes!T26</f>
        <v>171.08333333333331</v>
      </c>
      <c r="I25" s="152">
        <f>Costes!U26</f>
        <v>171.08333333333331</v>
      </c>
      <c r="J25" s="152">
        <f>Costes!V26</f>
        <v>171.08333333333331</v>
      </c>
      <c r="K25" s="152">
        <f>Costes!W26</f>
        <v>171.08333333333331</v>
      </c>
      <c r="L25" s="152">
        <f>Costes!X26</f>
        <v>171.08333333333331</v>
      </c>
      <c r="M25" s="152">
        <f>Costes!Y26</f>
        <v>171.08333333333331</v>
      </c>
      <c r="N25" s="152">
        <f>Costes!Z26</f>
        <v>171.08333333333331</v>
      </c>
      <c r="O25" s="159">
        <f t="shared" si="1"/>
        <v>2052.9999999999995</v>
      </c>
    </row>
    <row r="26" spans="2:15">
      <c r="B26" s="3" t="s">
        <v>160</v>
      </c>
      <c r="C26" s="152">
        <f>Costes!O27</f>
        <v>0</v>
      </c>
      <c r="D26" s="152">
        <f>Costes!P27</f>
        <v>0</v>
      </c>
      <c r="E26" s="152">
        <f>Costes!Q27</f>
        <v>0</v>
      </c>
      <c r="F26" s="152">
        <f>Costes!R27</f>
        <v>0</v>
      </c>
      <c r="G26" s="152">
        <f>Costes!S27</f>
        <v>0</v>
      </c>
      <c r="H26" s="152">
        <f>Costes!T27</f>
        <v>0</v>
      </c>
      <c r="I26" s="152">
        <f>Costes!U27</f>
        <v>0</v>
      </c>
      <c r="J26" s="152">
        <f>Costes!V27</f>
        <v>0</v>
      </c>
      <c r="K26" s="152">
        <f>Costes!W27</f>
        <v>0</v>
      </c>
      <c r="L26" s="152">
        <f>Costes!X27</f>
        <v>0</v>
      </c>
      <c r="M26" s="152">
        <f>Costes!Y27</f>
        <v>0</v>
      </c>
      <c r="N26" s="152">
        <f>Costes!Z27</f>
        <v>0</v>
      </c>
      <c r="O26" s="159">
        <f t="shared" si="1"/>
        <v>0</v>
      </c>
    </row>
    <row r="27" spans="2:15">
      <c r="B27" s="3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9"/>
    </row>
    <row r="28" spans="2:15">
      <c r="B28" s="47" t="s">
        <v>41</v>
      </c>
      <c r="C28" s="161">
        <f t="shared" ref="C28:O28" si="2">SUM(C16:C27)</f>
        <v>5471.457452704658</v>
      </c>
      <c r="D28" s="161">
        <f t="shared" si="2"/>
        <v>6714.2255691906039</v>
      </c>
      <c r="E28" s="161">
        <f t="shared" si="2"/>
        <v>6276.9808523463444</v>
      </c>
      <c r="F28" s="161">
        <f t="shared" si="2"/>
        <v>7771.7232283802296</v>
      </c>
      <c r="G28" s="161">
        <f t="shared" si="2"/>
        <v>10145.452623076311</v>
      </c>
      <c r="H28" s="161">
        <f t="shared" si="2"/>
        <v>8643.1689617918946</v>
      </c>
      <c r="I28" s="161">
        <f t="shared" si="2"/>
        <v>10665.872169455091</v>
      </c>
      <c r="J28" s="161">
        <f t="shared" si="2"/>
        <v>9943.5621705623525</v>
      </c>
      <c r="K28" s="161">
        <f t="shared" si="2"/>
        <v>10901.23888917598</v>
      </c>
      <c r="L28" s="161">
        <f t="shared" si="2"/>
        <v>9878.9022489216368</v>
      </c>
      <c r="M28" s="161">
        <f t="shared" si="2"/>
        <v>9000.5521729858301</v>
      </c>
      <c r="N28" s="161">
        <f t="shared" si="2"/>
        <v>7912.1885841133917</v>
      </c>
      <c r="O28" s="163">
        <f t="shared" si="2"/>
        <v>103325.32492270433</v>
      </c>
    </row>
    <row r="29" spans="2:15">
      <c r="B29" s="50" t="s">
        <v>42</v>
      </c>
      <c r="C29" s="153">
        <f t="shared" ref="C29:O29" si="3">C14-C28</f>
        <v>-3394.457452704658</v>
      </c>
      <c r="D29" s="153">
        <f t="shared" si="3"/>
        <v>-760.22556919060389</v>
      </c>
      <c r="E29" s="153">
        <f t="shared" si="3"/>
        <v>-2421.9808523463444</v>
      </c>
      <c r="F29" s="153">
        <f t="shared" si="3"/>
        <v>1136.2767716197704</v>
      </c>
      <c r="G29" s="153">
        <f t="shared" si="3"/>
        <v>3347.5473769236887</v>
      </c>
      <c r="H29" s="153">
        <f t="shared" si="3"/>
        <v>-406.16896179189462</v>
      </c>
      <c r="I29" s="153">
        <f t="shared" si="3"/>
        <v>4196.1278305449086</v>
      </c>
      <c r="J29" s="153">
        <f t="shared" si="3"/>
        <v>2410.4378294376475</v>
      </c>
      <c r="K29" s="153">
        <f t="shared" si="3"/>
        <v>4920.7611108240199</v>
      </c>
      <c r="L29" s="153">
        <f t="shared" si="3"/>
        <v>2235.0977510783632</v>
      </c>
      <c r="M29" s="153">
        <f t="shared" si="3"/>
        <v>987.44782701416989</v>
      </c>
      <c r="N29" s="153">
        <f t="shared" si="3"/>
        <v>-890.1885841133917</v>
      </c>
      <c r="O29" s="153">
        <f t="shared" si="3"/>
        <v>11360.675077295673</v>
      </c>
    </row>
    <row r="30" spans="2:15"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 t="s">
        <v>116</v>
      </c>
      <c r="O30" s="127">
        <f>O29*0.1</f>
        <v>1136.0675077295673</v>
      </c>
    </row>
    <row r="31" spans="2:15"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 t="s">
        <v>117</v>
      </c>
      <c r="O31" s="127">
        <f>O29-O30</f>
        <v>10224.607569566106</v>
      </c>
    </row>
  </sheetData>
  <mergeCells count="3">
    <mergeCell ref="B7:O7"/>
    <mergeCell ref="C8:O8"/>
    <mergeCell ref="C15:O1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1EE95-81E1-4112-9947-9CE7AB7E9201}">
  <dimension ref="B7:O31"/>
  <sheetViews>
    <sheetView topLeftCell="A7" zoomScale="120" zoomScaleNormal="120" workbookViewId="0">
      <selection activeCell="B7" sqref="B7:O10"/>
    </sheetView>
  </sheetViews>
  <sheetFormatPr baseColWidth="10" defaultRowHeight="15"/>
  <cols>
    <col min="1" max="1" width="14.7109375" customWidth="1"/>
    <col min="2" max="2" width="27.28515625" bestFit="1" customWidth="1"/>
    <col min="3" max="14" width="11.28515625" bestFit="1" customWidth="1"/>
    <col min="15" max="15" width="12.28515625" bestFit="1" customWidth="1"/>
    <col min="16" max="16" width="23.42578125" bestFit="1" customWidth="1"/>
    <col min="17" max="17" width="21.42578125" bestFit="1" customWidth="1"/>
    <col min="18" max="18" width="23.42578125" bestFit="1" customWidth="1"/>
    <col min="19" max="19" width="21.28515625" bestFit="1" customWidth="1"/>
    <col min="20" max="20" width="20.85546875" bestFit="1" customWidth="1"/>
    <col min="21" max="21" width="15.42578125" bestFit="1" customWidth="1"/>
    <col min="256" max="256" width="14.7109375" customWidth="1"/>
    <col min="257" max="257" width="26.42578125" customWidth="1"/>
    <col min="258" max="270" width="7.42578125" customWidth="1"/>
    <col min="512" max="512" width="14.7109375" customWidth="1"/>
    <col min="513" max="513" width="26.42578125" customWidth="1"/>
    <col min="514" max="526" width="7.42578125" customWidth="1"/>
    <col min="768" max="768" width="14.7109375" customWidth="1"/>
    <col min="769" max="769" width="26.42578125" customWidth="1"/>
    <col min="770" max="782" width="7.42578125" customWidth="1"/>
    <col min="1024" max="1024" width="14.7109375" customWidth="1"/>
    <col min="1025" max="1025" width="26.42578125" customWidth="1"/>
    <col min="1026" max="1038" width="7.42578125" customWidth="1"/>
    <col min="1280" max="1280" width="14.7109375" customWidth="1"/>
    <col min="1281" max="1281" width="26.42578125" customWidth="1"/>
    <col min="1282" max="1294" width="7.42578125" customWidth="1"/>
    <col min="1536" max="1536" width="14.7109375" customWidth="1"/>
    <col min="1537" max="1537" width="26.42578125" customWidth="1"/>
    <col min="1538" max="1550" width="7.42578125" customWidth="1"/>
    <col min="1792" max="1792" width="14.7109375" customWidth="1"/>
    <col min="1793" max="1793" width="26.42578125" customWidth="1"/>
    <col min="1794" max="1806" width="7.42578125" customWidth="1"/>
    <col min="2048" max="2048" width="14.7109375" customWidth="1"/>
    <col min="2049" max="2049" width="26.42578125" customWidth="1"/>
    <col min="2050" max="2062" width="7.42578125" customWidth="1"/>
    <col min="2304" max="2304" width="14.7109375" customWidth="1"/>
    <col min="2305" max="2305" width="26.42578125" customWidth="1"/>
    <col min="2306" max="2318" width="7.42578125" customWidth="1"/>
    <col min="2560" max="2560" width="14.7109375" customWidth="1"/>
    <col min="2561" max="2561" width="26.42578125" customWidth="1"/>
    <col min="2562" max="2574" width="7.42578125" customWidth="1"/>
    <col min="2816" max="2816" width="14.7109375" customWidth="1"/>
    <col min="2817" max="2817" width="26.42578125" customWidth="1"/>
    <col min="2818" max="2830" width="7.42578125" customWidth="1"/>
    <col min="3072" max="3072" width="14.7109375" customWidth="1"/>
    <col min="3073" max="3073" width="26.42578125" customWidth="1"/>
    <col min="3074" max="3086" width="7.42578125" customWidth="1"/>
    <col min="3328" max="3328" width="14.7109375" customWidth="1"/>
    <col min="3329" max="3329" width="26.42578125" customWidth="1"/>
    <col min="3330" max="3342" width="7.42578125" customWidth="1"/>
    <col min="3584" max="3584" width="14.7109375" customWidth="1"/>
    <col min="3585" max="3585" width="26.42578125" customWidth="1"/>
    <col min="3586" max="3598" width="7.42578125" customWidth="1"/>
    <col min="3840" max="3840" width="14.7109375" customWidth="1"/>
    <col min="3841" max="3841" width="26.42578125" customWidth="1"/>
    <col min="3842" max="3854" width="7.42578125" customWidth="1"/>
    <col min="4096" max="4096" width="14.7109375" customWidth="1"/>
    <col min="4097" max="4097" width="26.42578125" customWidth="1"/>
    <col min="4098" max="4110" width="7.42578125" customWidth="1"/>
    <col min="4352" max="4352" width="14.7109375" customWidth="1"/>
    <col min="4353" max="4353" width="26.42578125" customWidth="1"/>
    <col min="4354" max="4366" width="7.42578125" customWidth="1"/>
    <col min="4608" max="4608" width="14.7109375" customWidth="1"/>
    <col min="4609" max="4609" width="26.42578125" customWidth="1"/>
    <col min="4610" max="4622" width="7.42578125" customWidth="1"/>
    <col min="4864" max="4864" width="14.7109375" customWidth="1"/>
    <col min="4865" max="4865" width="26.42578125" customWidth="1"/>
    <col min="4866" max="4878" width="7.42578125" customWidth="1"/>
    <col min="5120" max="5120" width="14.7109375" customWidth="1"/>
    <col min="5121" max="5121" width="26.42578125" customWidth="1"/>
    <col min="5122" max="5134" width="7.42578125" customWidth="1"/>
    <col min="5376" max="5376" width="14.7109375" customWidth="1"/>
    <col min="5377" max="5377" width="26.42578125" customWidth="1"/>
    <col min="5378" max="5390" width="7.42578125" customWidth="1"/>
    <col min="5632" max="5632" width="14.7109375" customWidth="1"/>
    <col min="5633" max="5633" width="26.42578125" customWidth="1"/>
    <col min="5634" max="5646" width="7.42578125" customWidth="1"/>
    <col min="5888" max="5888" width="14.7109375" customWidth="1"/>
    <col min="5889" max="5889" width="26.42578125" customWidth="1"/>
    <col min="5890" max="5902" width="7.42578125" customWidth="1"/>
    <col min="6144" max="6144" width="14.7109375" customWidth="1"/>
    <col min="6145" max="6145" width="26.42578125" customWidth="1"/>
    <col min="6146" max="6158" width="7.42578125" customWidth="1"/>
    <col min="6400" max="6400" width="14.7109375" customWidth="1"/>
    <col min="6401" max="6401" width="26.42578125" customWidth="1"/>
    <col min="6402" max="6414" width="7.42578125" customWidth="1"/>
    <col min="6656" max="6656" width="14.7109375" customWidth="1"/>
    <col min="6657" max="6657" width="26.42578125" customWidth="1"/>
    <col min="6658" max="6670" width="7.42578125" customWidth="1"/>
    <col min="6912" max="6912" width="14.7109375" customWidth="1"/>
    <col min="6913" max="6913" width="26.42578125" customWidth="1"/>
    <col min="6914" max="6926" width="7.42578125" customWidth="1"/>
    <col min="7168" max="7168" width="14.7109375" customWidth="1"/>
    <col min="7169" max="7169" width="26.42578125" customWidth="1"/>
    <col min="7170" max="7182" width="7.42578125" customWidth="1"/>
    <col min="7424" max="7424" width="14.7109375" customWidth="1"/>
    <col min="7425" max="7425" width="26.42578125" customWidth="1"/>
    <col min="7426" max="7438" width="7.42578125" customWidth="1"/>
    <col min="7680" max="7680" width="14.7109375" customWidth="1"/>
    <col min="7681" max="7681" width="26.42578125" customWidth="1"/>
    <col min="7682" max="7694" width="7.42578125" customWidth="1"/>
    <col min="7936" max="7936" width="14.7109375" customWidth="1"/>
    <col min="7937" max="7937" width="26.42578125" customWidth="1"/>
    <col min="7938" max="7950" width="7.42578125" customWidth="1"/>
    <col min="8192" max="8192" width="14.7109375" customWidth="1"/>
    <col min="8193" max="8193" width="26.42578125" customWidth="1"/>
    <col min="8194" max="8206" width="7.42578125" customWidth="1"/>
    <col min="8448" max="8448" width="14.7109375" customWidth="1"/>
    <col min="8449" max="8449" width="26.42578125" customWidth="1"/>
    <col min="8450" max="8462" width="7.42578125" customWidth="1"/>
    <col min="8704" max="8704" width="14.7109375" customWidth="1"/>
    <col min="8705" max="8705" width="26.42578125" customWidth="1"/>
    <col min="8706" max="8718" width="7.42578125" customWidth="1"/>
    <col min="8960" max="8960" width="14.7109375" customWidth="1"/>
    <col min="8961" max="8961" width="26.42578125" customWidth="1"/>
    <col min="8962" max="8974" width="7.42578125" customWidth="1"/>
    <col min="9216" max="9216" width="14.7109375" customWidth="1"/>
    <col min="9217" max="9217" width="26.42578125" customWidth="1"/>
    <col min="9218" max="9230" width="7.42578125" customWidth="1"/>
    <col min="9472" max="9472" width="14.7109375" customWidth="1"/>
    <col min="9473" max="9473" width="26.42578125" customWidth="1"/>
    <col min="9474" max="9486" width="7.42578125" customWidth="1"/>
    <col min="9728" max="9728" width="14.7109375" customWidth="1"/>
    <col min="9729" max="9729" width="26.42578125" customWidth="1"/>
    <col min="9730" max="9742" width="7.42578125" customWidth="1"/>
    <col min="9984" max="9984" width="14.7109375" customWidth="1"/>
    <col min="9985" max="9985" width="26.42578125" customWidth="1"/>
    <col min="9986" max="9998" width="7.42578125" customWidth="1"/>
    <col min="10240" max="10240" width="14.7109375" customWidth="1"/>
    <col min="10241" max="10241" width="26.42578125" customWidth="1"/>
    <col min="10242" max="10254" width="7.42578125" customWidth="1"/>
    <col min="10496" max="10496" width="14.7109375" customWidth="1"/>
    <col min="10497" max="10497" width="26.42578125" customWidth="1"/>
    <col min="10498" max="10510" width="7.42578125" customWidth="1"/>
    <col min="10752" max="10752" width="14.7109375" customWidth="1"/>
    <col min="10753" max="10753" width="26.42578125" customWidth="1"/>
    <col min="10754" max="10766" width="7.42578125" customWidth="1"/>
    <col min="11008" max="11008" width="14.7109375" customWidth="1"/>
    <col min="11009" max="11009" width="26.42578125" customWidth="1"/>
    <col min="11010" max="11022" width="7.42578125" customWidth="1"/>
    <col min="11264" max="11264" width="14.7109375" customWidth="1"/>
    <col min="11265" max="11265" width="26.42578125" customWidth="1"/>
    <col min="11266" max="11278" width="7.42578125" customWidth="1"/>
    <col min="11520" max="11520" width="14.7109375" customWidth="1"/>
    <col min="11521" max="11521" width="26.42578125" customWidth="1"/>
    <col min="11522" max="11534" width="7.42578125" customWidth="1"/>
    <col min="11776" max="11776" width="14.7109375" customWidth="1"/>
    <col min="11777" max="11777" width="26.42578125" customWidth="1"/>
    <col min="11778" max="11790" width="7.42578125" customWidth="1"/>
    <col min="12032" max="12032" width="14.7109375" customWidth="1"/>
    <col min="12033" max="12033" width="26.42578125" customWidth="1"/>
    <col min="12034" max="12046" width="7.42578125" customWidth="1"/>
    <col min="12288" max="12288" width="14.7109375" customWidth="1"/>
    <col min="12289" max="12289" width="26.42578125" customWidth="1"/>
    <col min="12290" max="12302" width="7.42578125" customWidth="1"/>
    <col min="12544" max="12544" width="14.7109375" customWidth="1"/>
    <col min="12545" max="12545" width="26.42578125" customWidth="1"/>
    <col min="12546" max="12558" width="7.42578125" customWidth="1"/>
    <col min="12800" max="12800" width="14.7109375" customWidth="1"/>
    <col min="12801" max="12801" width="26.42578125" customWidth="1"/>
    <col min="12802" max="12814" width="7.42578125" customWidth="1"/>
    <col min="13056" max="13056" width="14.7109375" customWidth="1"/>
    <col min="13057" max="13057" width="26.42578125" customWidth="1"/>
    <col min="13058" max="13070" width="7.42578125" customWidth="1"/>
    <col min="13312" max="13312" width="14.7109375" customWidth="1"/>
    <col min="13313" max="13313" width="26.42578125" customWidth="1"/>
    <col min="13314" max="13326" width="7.42578125" customWidth="1"/>
    <col min="13568" max="13568" width="14.7109375" customWidth="1"/>
    <col min="13569" max="13569" width="26.42578125" customWidth="1"/>
    <col min="13570" max="13582" width="7.42578125" customWidth="1"/>
    <col min="13824" max="13824" width="14.7109375" customWidth="1"/>
    <col min="13825" max="13825" width="26.42578125" customWidth="1"/>
    <col min="13826" max="13838" width="7.42578125" customWidth="1"/>
    <col min="14080" max="14080" width="14.7109375" customWidth="1"/>
    <col min="14081" max="14081" width="26.42578125" customWidth="1"/>
    <col min="14082" max="14094" width="7.42578125" customWidth="1"/>
    <col min="14336" max="14336" width="14.7109375" customWidth="1"/>
    <col min="14337" max="14337" width="26.42578125" customWidth="1"/>
    <col min="14338" max="14350" width="7.42578125" customWidth="1"/>
    <col min="14592" max="14592" width="14.7109375" customWidth="1"/>
    <col min="14593" max="14593" width="26.42578125" customWidth="1"/>
    <col min="14594" max="14606" width="7.42578125" customWidth="1"/>
    <col min="14848" max="14848" width="14.7109375" customWidth="1"/>
    <col min="14849" max="14849" width="26.42578125" customWidth="1"/>
    <col min="14850" max="14862" width="7.42578125" customWidth="1"/>
    <col min="15104" max="15104" width="14.7109375" customWidth="1"/>
    <col min="15105" max="15105" width="26.42578125" customWidth="1"/>
    <col min="15106" max="15118" width="7.42578125" customWidth="1"/>
    <col min="15360" max="15360" width="14.7109375" customWidth="1"/>
    <col min="15361" max="15361" width="26.42578125" customWidth="1"/>
    <col min="15362" max="15374" width="7.42578125" customWidth="1"/>
    <col min="15616" max="15616" width="14.7109375" customWidth="1"/>
    <col min="15617" max="15617" width="26.42578125" customWidth="1"/>
    <col min="15618" max="15630" width="7.42578125" customWidth="1"/>
    <col min="15872" max="15872" width="14.7109375" customWidth="1"/>
    <col min="15873" max="15873" width="26.42578125" customWidth="1"/>
    <col min="15874" max="15886" width="7.42578125" customWidth="1"/>
    <col min="16128" max="16128" width="14.7109375" customWidth="1"/>
    <col min="16129" max="16129" width="26.42578125" customWidth="1"/>
    <col min="16130" max="16142" width="7.42578125" customWidth="1"/>
  </cols>
  <sheetData>
    <row r="7" spans="2:15">
      <c r="B7" s="183" t="s">
        <v>218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2"/>
    </row>
    <row r="8" spans="2:15">
      <c r="B8" s="115" t="s">
        <v>6</v>
      </c>
      <c r="C8" s="183" t="s">
        <v>16</v>
      </c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2"/>
    </row>
    <row r="9" spans="2:15">
      <c r="B9" s="48"/>
      <c r="C9" s="48" t="s">
        <v>17</v>
      </c>
      <c r="D9" s="48" t="s">
        <v>18</v>
      </c>
      <c r="E9" s="48" t="s">
        <v>19</v>
      </c>
      <c r="F9" s="48" t="s">
        <v>20</v>
      </c>
      <c r="G9" s="48" t="s">
        <v>21</v>
      </c>
      <c r="H9" s="48" t="s">
        <v>22</v>
      </c>
      <c r="I9" s="48" t="s">
        <v>23</v>
      </c>
      <c r="J9" s="48" t="s">
        <v>24</v>
      </c>
      <c r="K9" s="48" t="s">
        <v>25</v>
      </c>
      <c r="L9" s="48" t="s">
        <v>26</v>
      </c>
      <c r="M9" s="48" t="s">
        <v>27</v>
      </c>
      <c r="N9" s="48" t="s">
        <v>28</v>
      </c>
      <c r="O9" s="48" t="s">
        <v>15</v>
      </c>
    </row>
    <row r="10" spans="2:15">
      <c r="B10" s="115" t="s">
        <v>29</v>
      </c>
      <c r="C10" s="106">
        <f>Costes!AA11</f>
        <v>46997</v>
      </c>
      <c r="D10" s="106">
        <f>Costes!AB11</f>
        <v>47027</v>
      </c>
      <c r="E10" s="106">
        <f>Costes!AC11</f>
        <v>47058</v>
      </c>
      <c r="F10" s="106">
        <f>Costes!AD11</f>
        <v>47088</v>
      </c>
      <c r="G10" s="106">
        <f>Costes!AE11</f>
        <v>47119</v>
      </c>
      <c r="H10" s="106">
        <f>Costes!AF11</f>
        <v>47150</v>
      </c>
      <c r="I10" s="106">
        <f>Costes!AG11</f>
        <v>47178</v>
      </c>
      <c r="J10" s="106">
        <f>Costes!AH11</f>
        <v>47209</v>
      </c>
      <c r="K10" s="106">
        <f>Costes!AI11</f>
        <v>47239</v>
      </c>
      <c r="L10" s="106">
        <f>Costes!AJ11</f>
        <v>47270</v>
      </c>
      <c r="M10" s="106">
        <f>Costes!AK11</f>
        <v>47300</v>
      </c>
      <c r="N10" s="106">
        <f>Costes!AL11</f>
        <v>47331</v>
      </c>
      <c r="O10" s="107"/>
    </row>
    <row r="11" spans="2:15">
      <c r="B11" s="4" t="s">
        <v>30</v>
      </c>
      <c r="C11" s="81">
        <f>Ventas!AA29</f>
        <v>10637</v>
      </c>
      <c r="D11" s="81">
        <f>Ventas!AB29</f>
        <v>15582</v>
      </c>
      <c r="E11" s="81">
        <f>Ventas!AC29</f>
        <v>14492</v>
      </c>
      <c r="F11" s="81">
        <f>Ventas!AD29</f>
        <v>23601</v>
      </c>
      <c r="G11" s="81">
        <f>Ventas!AE29</f>
        <v>29195</v>
      </c>
      <c r="H11" s="81">
        <f>Ventas!AF29</f>
        <v>24539</v>
      </c>
      <c r="I11" s="81">
        <f>Ventas!AG29</f>
        <v>31164</v>
      </c>
      <c r="J11" s="81">
        <f>Ventas!AH29</f>
        <v>28847</v>
      </c>
      <c r="K11" s="81">
        <f>Ventas!AI29</f>
        <v>30838</v>
      </c>
      <c r="L11" s="81">
        <f>Ventas!AJ29</f>
        <v>26121</v>
      </c>
      <c r="M11" s="81">
        <f>Ventas!AK29</f>
        <v>15653</v>
      </c>
      <c r="N11" s="81">
        <f>Ventas!AL29</f>
        <v>8631</v>
      </c>
      <c r="O11" s="81">
        <f>SUM(C11:N11)</f>
        <v>259300</v>
      </c>
    </row>
    <row r="12" spans="2:15">
      <c r="B12" s="4" t="s">
        <v>31</v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>
        <v>0</v>
      </c>
    </row>
    <row r="13" spans="2:15">
      <c r="B13" s="4" t="s">
        <v>32</v>
      </c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>
        <v>0</v>
      </c>
    </row>
    <row r="14" spans="2:15">
      <c r="B14" s="115" t="s">
        <v>33</v>
      </c>
      <c r="C14" s="161">
        <f>SUM(C11:C13)</f>
        <v>10637</v>
      </c>
      <c r="D14" s="161">
        <f>SUM(D11:D13)</f>
        <v>15582</v>
      </c>
      <c r="E14" s="161">
        <f t="shared" ref="E14:N14" si="0">SUM(E11:E13)</f>
        <v>14492</v>
      </c>
      <c r="F14" s="161">
        <f t="shared" si="0"/>
        <v>23601</v>
      </c>
      <c r="G14" s="161">
        <f t="shared" si="0"/>
        <v>29195</v>
      </c>
      <c r="H14" s="161">
        <f t="shared" si="0"/>
        <v>24539</v>
      </c>
      <c r="I14" s="161">
        <f t="shared" si="0"/>
        <v>31164</v>
      </c>
      <c r="J14" s="161">
        <f t="shared" si="0"/>
        <v>28847</v>
      </c>
      <c r="K14" s="161">
        <f t="shared" si="0"/>
        <v>30838</v>
      </c>
      <c r="L14" s="161">
        <f t="shared" si="0"/>
        <v>26121</v>
      </c>
      <c r="M14" s="161">
        <f t="shared" si="0"/>
        <v>15653</v>
      </c>
      <c r="N14" s="161">
        <f t="shared" si="0"/>
        <v>8631</v>
      </c>
      <c r="O14" s="161">
        <f>SUM(O11:O13)</f>
        <v>259300</v>
      </c>
    </row>
    <row r="15" spans="2:15">
      <c r="B15" s="115" t="s">
        <v>34</v>
      </c>
      <c r="C15" s="185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207"/>
    </row>
    <row r="16" spans="2:15">
      <c r="B16" s="4" t="s">
        <v>35</v>
      </c>
      <c r="C16" s="81">
        <f>Costes!AA17</f>
        <v>3603</v>
      </c>
      <c r="D16" s="81">
        <f>Costes!AB17</f>
        <v>5094</v>
      </c>
      <c r="E16" s="81">
        <f>Costes!AC17</f>
        <v>5094</v>
      </c>
      <c r="F16" s="81">
        <f>Costes!AD17</f>
        <v>7677</v>
      </c>
      <c r="G16" s="81">
        <f>Costes!AE17</f>
        <v>9513</v>
      </c>
      <c r="H16" s="81">
        <f>Costes!AF17</f>
        <v>8163</v>
      </c>
      <c r="I16" s="81">
        <f>Costes!AG17</f>
        <v>10188</v>
      </c>
      <c r="J16" s="81">
        <f>Costes!AH17</f>
        <v>9333</v>
      </c>
      <c r="K16" s="81">
        <f>Costes!AI17</f>
        <v>9762</v>
      </c>
      <c r="L16" s="81">
        <f>Costes!AJ17</f>
        <v>8307</v>
      </c>
      <c r="M16" s="81">
        <f>Costes!AK17</f>
        <v>4929</v>
      </c>
      <c r="N16" s="81">
        <f>Costes!AL17</f>
        <v>2757</v>
      </c>
      <c r="O16" s="81">
        <f>SUM(C16:N16)</f>
        <v>84420</v>
      </c>
    </row>
    <row r="17" spans="2:15">
      <c r="B17" s="4" t="s">
        <v>166</v>
      </c>
      <c r="C17" s="81">
        <f>Costes!AA18</f>
        <v>0</v>
      </c>
      <c r="D17" s="81">
        <f>Costes!AB18</f>
        <v>0</v>
      </c>
      <c r="E17" s="81">
        <f>Costes!AC18</f>
        <v>0</v>
      </c>
      <c r="F17" s="81">
        <f>Costes!AD18</f>
        <v>0</v>
      </c>
      <c r="G17" s="81">
        <f>Costes!AE18</f>
        <v>0</v>
      </c>
      <c r="H17" s="81">
        <f>Costes!AF18</f>
        <v>0</v>
      </c>
      <c r="I17" s="81">
        <f>Costes!AG18</f>
        <v>0</v>
      </c>
      <c r="J17" s="81">
        <f>Costes!AH18</f>
        <v>0</v>
      </c>
      <c r="K17" s="81">
        <f>Costes!AI18</f>
        <v>0</v>
      </c>
      <c r="L17" s="81">
        <f>Costes!AJ18</f>
        <v>0</v>
      </c>
      <c r="M17" s="81">
        <f>Costes!AK18</f>
        <v>0</v>
      </c>
      <c r="N17" s="81">
        <f>Costes!AL18</f>
        <v>0</v>
      </c>
      <c r="O17" s="81">
        <f t="shared" ref="O17:O26" si="1">SUM(C17:N17)</f>
        <v>0</v>
      </c>
    </row>
    <row r="18" spans="2:15">
      <c r="B18" s="4" t="s">
        <v>48</v>
      </c>
      <c r="C18" s="81">
        <f>Costes!AA19</f>
        <v>400</v>
      </c>
      <c r="D18" s="81">
        <f>Costes!AB19</f>
        <v>400</v>
      </c>
      <c r="E18" s="81">
        <f>Costes!AC19</f>
        <v>400</v>
      </c>
      <c r="F18" s="81">
        <f>Costes!AD19</f>
        <v>400</v>
      </c>
      <c r="G18" s="81">
        <f>Costes!AE19</f>
        <v>400</v>
      </c>
      <c r="H18" s="81">
        <f>Costes!AF19</f>
        <v>400</v>
      </c>
      <c r="I18" s="81">
        <f>Costes!AG19</f>
        <v>400</v>
      </c>
      <c r="J18" s="81">
        <f>Costes!AH19</f>
        <v>400</v>
      </c>
      <c r="K18" s="81">
        <f>Costes!AI19</f>
        <v>400</v>
      </c>
      <c r="L18" s="81">
        <f>Costes!AJ19</f>
        <v>400</v>
      </c>
      <c r="M18" s="81">
        <f>Costes!AK19</f>
        <v>400</v>
      </c>
      <c r="N18" s="81">
        <f>Costes!AL19</f>
        <v>400</v>
      </c>
      <c r="O18" s="81">
        <f t="shared" si="1"/>
        <v>4800</v>
      </c>
    </row>
    <row r="19" spans="2:15">
      <c r="B19" s="4" t="s">
        <v>37</v>
      </c>
      <c r="C19" s="81">
        <f>Costes!AA20</f>
        <v>90</v>
      </c>
      <c r="D19" s="81">
        <f>Costes!AB20</f>
        <v>90</v>
      </c>
      <c r="E19" s="81">
        <f>Costes!AC20</f>
        <v>90</v>
      </c>
      <c r="F19" s="81">
        <f>Costes!AD20</f>
        <v>90</v>
      </c>
      <c r="G19" s="81">
        <f>Costes!AE20</f>
        <v>90</v>
      </c>
      <c r="H19" s="81">
        <f>Costes!AF20</f>
        <v>90</v>
      </c>
      <c r="I19" s="81">
        <f>Costes!AG20</f>
        <v>90</v>
      </c>
      <c r="J19" s="81">
        <f>Costes!AH20</f>
        <v>90</v>
      </c>
      <c r="K19" s="81">
        <f>Costes!AI20</f>
        <v>90</v>
      </c>
      <c r="L19" s="81">
        <f>Costes!AJ20</f>
        <v>90</v>
      </c>
      <c r="M19" s="81">
        <f>Costes!AK20</f>
        <v>90</v>
      </c>
      <c r="N19" s="81">
        <f>Costes!AL20</f>
        <v>90</v>
      </c>
      <c r="O19" s="81">
        <f t="shared" si="1"/>
        <v>1080</v>
      </c>
    </row>
    <row r="20" spans="2:15">
      <c r="B20" s="4" t="s">
        <v>38</v>
      </c>
      <c r="C20" s="81">
        <f>Costes!AA21</f>
        <v>780</v>
      </c>
      <c r="D20" s="81">
        <f>Costes!AB21</f>
        <v>780</v>
      </c>
      <c r="E20" s="81">
        <f>Costes!AC21</f>
        <v>780</v>
      </c>
      <c r="F20" s="81">
        <f>Costes!AD21</f>
        <v>780</v>
      </c>
      <c r="G20" s="81">
        <f>Costes!AE21</f>
        <v>780</v>
      </c>
      <c r="H20" s="81">
        <f>Costes!AF21</f>
        <v>780</v>
      </c>
      <c r="I20" s="81">
        <f>Costes!AG21</f>
        <v>780</v>
      </c>
      <c r="J20" s="81">
        <f>Costes!AH21</f>
        <v>780</v>
      </c>
      <c r="K20" s="81">
        <f>Costes!AI21</f>
        <v>780</v>
      </c>
      <c r="L20" s="81">
        <f>Costes!AJ21</f>
        <v>780</v>
      </c>
      <c r="M20" s="81">
        <f>Costes!AK21</f>
        <v>780</v>
      </c>
      <c r="N20" s="81">
        <f>Costes!AL21</f>
        <v>780</v>
      </c>
      <c r="O20" s="81">
        <f t="shared" si="1"/>
        <v>9360</v>
      </c>
    </row>
    <row r="21" spans="2:15">
      <c r="B21" s="4" t="s">
        <v>158</v>
      </c>
      <c r="C21" s="81">
        <f>Costes!AA22</f>
        <v>50</v>
      </c>
      <c r="D21" s="81">
        <f>Costes!AB22</f>
        <v>50</v>
      </c>
      <c r="E21" s="81">
        <f>Costes!AC22</f>
        <v>50</v>
      </c>
      <c r="F21" s="81">
        <f>Costes!AD22</f>
        <v>50</v>
      </c>
      <c r="G21" s="81">
        <f>Costes!AE22</f>
        <v>50</v>
      </c>
      <c r="H21" s="81">
        <f>Costes!AF22</f>
        <v>50</v>
      </c>
      <c r="I21" s="81">
        <f>Costes!AG22</f>
        <v>50</v>
      </c>
      <c r="J21" s="81">
        <f>Costes!AH22</f>
        <v>50</v>
      </c>
      <c r="K21" s="81">
        <f>Costes!AI22</f>
        <v>50</v>
      </c>
      <c r="L21" s="81">
        <f>Costes!AJ22</f>
        <v>50</v>
      </c>
      <c r="M21" s="81">
        <f>Costes!AK22</f>
        <v>50</v>
      </c>
      <c r="N21" s="81">
        <f>Costes!AL22</f>
        <v>50</v>
      </c>
      <c r="O21" s="81">
        <f t="shared" si="1"/>
        <v>600</v>
      </c>
    </row>
    <row r="22" spans="2:15">
      <c r="B22" s="116" t="s">
        <v>159</v>
      </c>
      <c r="C22" s="164">
        <f>Costes!AA23</f>
        <v>3775</v>
      </c>
      <c r="D22" s="164">
        <f>Costes!AB23</f>
        <v>3775</v>
      </c>
      <c r="E22" s="164">
        <f>Costes!AC23</f>
        <v>3775</v>
      </c>
      <c r="F22" s="164">
        <f>Costes!AD23</f>
        <v>3775</v>
      </c>
      <c r="G22" s="164">
        <f>Costes!AE23</f>
        <v>3775</v>
      </c>
      <c r="H22" s="164">
        <f>Costes!AF23</f>
        <v>3775</v>
      </c>
      <c r="I22" s="164">
        <f>Costes!AG23</f>
        <v>3775</v>
      </c>
      <c r="J22" s="164">
        <f>Costes!AH23</f>
        <v>3775</v>
      </c>
      <c r="K22" s="164">
        <f>Costes!AI23</f>
        <v>3775</v>
      </c>
      <c r="L22" s="164">
        <f>Costes!AJ23</f>
        <v>3775</v>
      </c>
      <c r="M22" s="164">
        <f>Costes!AK23</f>
        <v>3775</v>
      </c>
      <c r="N22" s="164">
        <f>Costes!AL23</f>
        <v>3775</v>
      </c>
      <c r="O22" s="164">
        <f t="shared" si="1"/>
        <v>45300</v>
      </c>
    </row>
    <row r="23" spans="2:15">
      <c r="B23" s="4" t="s">
        <v>39</v>
      </c>
      <c r="C23" s="81">
        <f>Costes!AA24</f>
        <v>131.72807127160476</v>
      </c>
      <c r="D23" s="81">
        <f>Costes!AB24</f>
        <v>129.33722298097732</v>
      </c>
      <c r="E23" s="81">
        <f>Costes!AC24</f>
        <v>126.93262731267875</v>
      </c>
      <c r="F23" s="81">
        <f>Costes!AD24</f>
        <v>124.51420521928746</v>
      </c>
      <c r="G23" s="81">
        <f>Costes!AE24</f>
        <v>122.08187719885917</v>
      </c>
      <c r="H23" s="81">
        <f>Costes!AF24</f>
        <v>119.63556329231344</v>
      </c>
      <c r="I23" s="81">
        <f>Costes!AG24</f>
        <v>117.17518308080506</v>
      </c>
      <c r="J23" s="81">
        <f>Costes!AH24</f>
        <v>114.7006556830805</v>
      </c>
      <c r="K23" s="81">
        <f>Costes!AI24</f>
        <v>112.21189975281902</v>
      </c>
      <c r="L23" s="81">
        <f>Costes!AJ24</f>
        <v>109.70883347595856</v>
      </c>
      <c r="M23" s="81">
        <f>Costes!AK24</f>
        <v>107.19137456800613</v>
      </c>
      <c r="N23" s="81">
        <f>Costes!AL24</f>
        <v>104.65944027133298</v>
      </c>
      <c r="O23" s="81">
        <f t="shared" si="1"/>
        <v>1419.8769541077231</v>
      </c>
    </row>
    <row r="24" spans="2:15">
      <c r="B24" s="4" t="s">
        <v>5</v>
      </c>
      <c r="C24" s="81">
        <f>Costes!AA25</f>
        <v>340</v>
      </c>
      <c r="D24" s="81">
        <f>Costes!AB25</f>
        <v>340</v>
      </c>
      <c r="E24" s="81">
        <f>Costes!AC25</f>
        <v>340</v>
      </c>
      <c r="F24" s="81">
        <f>Costes!AD25</f>
        <v>340</v>
      </c>
      <c r="G24" s="81">
        <f>Costes!AE25</f>
        <v>340</v>
      </c>
      <c r="H24" s="81">
        <f>Costes!AF25</f>
        <v>340</v>
      </c>
      <c r="I24" s="81">
        <f>Costes!AG25</f>
        <v>340</v>
      </c>
      <c r="J24" s="81">
        <f>Costes!AH25</f>
        <v>340</v>
      </c>
      <c r="K24" s="81">
        <f>Costes!AI25</f>
        <v>340</v>
      </c>
      <c r="L24" s="81">
        <f>Costes!AJ25</f>
        <v>340</v>
      </c>
      <c r="M24" s="81">
        <f>Costes!AK25</f>
        <v>340</v>
      </c>
      <c r="N24" s="81">
        <f>Costes!AL25</f>
        <v>340</v>
      </c>
      <c r="O24" s="81">
        <f t="shared" si="1"/>
        <v>4080</v>
      </c>
    </row>
    <row r="25" spans="2:15">
      <c r="B25" s="4" t="s">
        <v>40</v>
      </c>
      <c r="C25" s="81">
        <f>Costes!AA26</f>
        <v>171.08333333333331</v>
      </c>
      <c r="D25" s="81">
        <f>Costes!AB26</f>
        <v>171.08333333333331</v>
      </c>
      <c r="E25" s="81">
        <f>Costes!AC26</f>
        <v>171.08333333333331</v>
      </c>
      <c r="F25" s="81">
        <f>Costes!AD26</f>
        <v>171.08333333333331</v>
      </c>
      <c r="G25" s="81">
        <f>Costes!AE26</f>
        <v>171.08333333333331</v>
      </c>
      <c r="H25" s="81">
        <f>Costes!AF26</f>
        <v>171.08333333333331</v>
      </c>
      <c r="I25" s="81">
        <f>Costes!AG26</f>
        <v>171.08333333333331</v>
      </c>
      <c r="J25" s="81">
        <f>Costes!AH26</f>
        <v>171.08333333333331</v>
      </c>
      <c r="K25" s="81">
        <f>Costes!AI26</f>
        <v>171.08333333333331</v>
      </c>
      <c r="L25" s="81">
        <f>Costes!AJ26</f>
        <v>171.08333333333331</v>
      </c>
      <c r="M25" s="81">
        <f>Costes!AK26</f>
        <v>171.08333333333331</v>
      </c>
      <c r="N25" s="81">
        <f>Costes!AL26</f>
        <v>171.08333333333331</v>
      </c>
      <c r="O25" s="81">
        <f t="shared" si="1"/>
        <v>2052.9999999999995</v>
      </c>
    </row>
    <row r="26" spans="2:15">
      <c r="B26" s="4" t="s">
        <v>160</v>
      </c>
      <c r="C26" s="81">
        <f>Costes!AA27</f>
        <v>0</v>
      </c>
      <c r="D26" s="81">
        <f>Costes!AB27</f>
        <v>0</v>
      </c>
      <c r="E26" s="81">
        <f>Costes!AC27</f>
        <v>0</v>
      </c>
      <c r="F26" s="81">
        <f>Costes!AD27</f>
        <v>0</v>
      </c>
      <c r="G26" s="81">
        <f>Costes!AE27</f>
        <v>0</v>
      </c>
      <c r="H26" s="81">
        <f>Costes!AF27</f>
        <v>0</v>
      </c>
      <c r="I26" s="81">
        <f>Costes!AG27</f>
        <v>0</v>
      </c>
      <c r="J26" s="81">
        <f>Costes!AH27</f>
        <v>0</v>
      </c>
      <c r="K26" s="81">
        <f>Costes!AI27</f>
        <v>0</v>
      </c>
      <c r="L26" s="81">
        <f>Costes!AJ27</f>
        <v>0</v>
      </c>
      <c r="M26" s="81">
        <f>Costes!AK27</f>
        <v>0</v>
      </c>
      <c r="N26" s="81">
        <f>Costes!AL27</f>
        <v>0</v>
      </c>
      <c r="O26" s="81">
        <f t="shared" si="1"/>
        <v>0</v>
      </c>
    </row>
    <row r="27" spans="2:15">
      <c r="B27" s="4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</row>
    <row r="28" spans="2:15">
      <c r="B28" s="115" t="s">
        <v>41</v>
      </c>
      <c r="C28" s="161">
        <f t="shared" ref="C28:O28" si="2">SUM(C16:C26)</f>
        <v>9340.8114046049395</v>
      </c>
      <c r="D28" s="161">
        <f t="shared" si="2"/>
        <v>10829.420556314311</v>
      </c>
      <c r="E28" s="161">
        <f t="shared" si="2"/>
        <v>10827.015960646013</v>
      </c>
      <c r="F28" s="161">
        <f t="shared" si="2"/>
        <v>13407.597538552622</v>
      </c>
      <c r="G28" s="161">
        <f t="shared" si="2"/>
        <v>15241.165210532194</v>
      </c>
      <c r="H28" s="161">
        <f t="shared" si="2"/>
        <v>13888.718896625647</v>
      </c>
      <c r="I28" s="161">
        <f t="shared" si="2"/>
        <v>15911.258516414138</v>
      </c>
      <c r="J28" s="161">
        <f t="shared" si="2"/>
        <v>15053.783989016414</v>
      </c>
      <c r="K28" s="161">
        <f t="shared" si="2"/>
        <v>15480.295233086154</v>
      </c>
      <c r="L28" s="161">
        <f t="shared" si="2"/>
        <v>14022.792166809293</v>
      </c>
      <c r="M28" s="161">
        <f t="shared" si="2"/>
        <v>10642.274707901341</v>
      </c>
      <c r="N28" s="161">
        <f t="shared" si="2"/>
        <v>8467.7427736046666</v>
      </c>
      <c r="O28" s="161">
        <f t="shared" si="2"/>
        <v>153112.87695410772</v>
      </c>
    </row>
    <row r="29" spans="2:15">
      <c r="B29" s="51" t="s">
        <v>42</v>
      </c>
      <c r="C29" s="153">
        <f t="shared" ref="C29:O29" si="3">C14-C28</f>
        <v>1296.1885953950605</v>
      </c>
      <c r="D29" s="153">
        <f t="shared" si="3"/>
        <v>4752.5794436856886</v>
      </c>
      <c r="E29" s="153">
        <f t="shared" si="3"/>
        <v>3664.9840393539871</v>
      </c>
      <c r="F29" s="153">
        <f t="shared" si="3"/>
        <v>10193.402461447378</v>
      </c>
      <c r="G29" s="153">
        <f t="shared" si="3"/>
        <v>13953.834789467806</v>
      </c>
      <c r="H29" s="153">
        <f t="shared" si="3"/>
        <v>10650.281103374353</v>
      </c>
      <c r="I29" s="153">
        <f t="shared" si="3"/>
        <v>15252.741483585862</v>
      </c>
      <c r="J29" s="153">
        <f t="shared" si="3"/>
        <v>13793.216010983586</v>
      </c>
      <c r="K29" s="153">
        <f t="shared" si="3"/>
        <v>15357.704766913846</v>
      </c>
      <c r="L29" s="153">
        <f t="shared" si="3"/>
        <v>12098.207833190707</v>
      </c>
      <c r="M29" s="153">
        <f t="shared" si="3"/>
        <v>5010.7252920986593</v>
      </c>
      <c r="N29" s="153">
        <f t="shared" si="3"/>
        <v>163.25722639533342</v>
      </c>
      <c r="O29" s="153">
        <f t="shared" si="3"/>
        <v>106187.12304589228</v>
      </c>
    </row>
    <row r="30" spans="2:15"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 t="s">
        <v>116</v>
      </c>
      <c r="O30" s="127">
        <f>O29*0.1</f>
        <v>10618.712304589229</v>
      </c>
    </row>
    <row r="31" spans="2:15"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 t="s">
        <v>117</v>
      </c>
      <c r="O31" s="127">
        <f>O29-O30</f>
        <v>95568.410741303058</v>
      </c>
    </row>
  </sheetData>
  <mergeCells count="3">
    <mergeCell ref="B7:O7"/>
    <mergeCell ref="C8:O8"/>
    <mergeCell ref="C15:O1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4F73D-AA8A-4B5E-B97B-D2C1AF5DF319}">
  <dimension ref="B4:O25"/>
  <sheetViews>
    <sheetView zoomScale="130" zoomScaleNormal="130" workbookViewId="0">
      <selection activeCell="B5" sqref="B5:O8"/>
    </sheetView>
  </sheetViews>
  <sheetFormatPr baseColWidth="10" defaultRowHeight="15"/>
  <cols>
    <col min="1" max="1" width="14.7109375" customWidth="1"/>
    <col min="2" max="2" width="20.140625" bestFit="1" customWidth="1"/>
    <col min="3" max="14" width="11.28515625" bestFit="1" customWidth="1"/>
    <col min="15" max="15" width="12.42578125" bestFit="1" customWidth="1"/>
    <col min="17" max="17" width="17.42578125" bestFit="1" customWidth="1"/>
    <col min="18" max="18" width="16.85546875" bestFit="1" customWidth="1"/>
    <col min="19" max="19" width="15.7109375" bestFit="1" customWidth="1"/>
    <col min="20" max="20" width="12.42578125" bestFit="1" customWidth="1"/>
    <col min="257" max="257" width="14.7109375" customWidth="1"/>
    <col min="258" max="258" width="20.140625" bestFit="1" customWidth="1"/>
    <col min="259" max="270" width="8.42578125" customWidth="1"/>
    <col min="271" max="271" width="12.42578125" customWidth="1"/>
    <col min="513" max="513" width="14.7109375" customWidth="1"/>
    <col min="514" max="514" width="20.140625" bestFit="1" customWidth="1"/>
    <col min="515" max="526" width="8.42578125" customWidth="1"/>
    <col min="527" max="527" width="12.42578125" customWidth="1"/>
    <col min="769" max="769" width="14.7109375" customWidth="1"/>
    <col min="770" max="770" width="20.140625" bestFit="1" customWidth="1"/>
    <col min="771" max="782" width="8.42578125" customWidth="1"/>
    <col min="783" max="783" width="12.42578125" customWidth="1"/>
    <col min="1025" max="1025" width="14.7109375" customWidth="1"/>
    <col min="1026" max="1026" width="20.140625" bestFit="1" customWidth="1"/>
    <col min="1027" max="1038" width="8.42578125" customWidth="1"/>
    <col min="1039" max="1039" width="12.42578125" customWidth="1"/>
    <col min="1281" max="1281" width="14.7109375" customWidth="1"/>
    <col min="1282" max="1282" width="20.140625" bestFit="1" customWidth="1"/>
    <col min="1283" max="1294" width="8.42578125" customWidth="1"/>
    <col min="1295" max="1295" width="12.42578125" customWidth="1"/>
    <col min="1537" max="1537" width="14.7109375" customWidth="1"/>
    <col min="1538" max="1538" width="20.140625" bestFit="1" customWidth="1"/>
    <col min="1539" max="1550" width="8.42578125" customWidth="1"/>
    <col min="1551" max="1551" width="12.42578125" customWidth="1"/>
    <col min="1793" max="1793" width="14.7109375" customWidth="1"/>
    <col min="1794" max="1794" width="20.140625" bestFit="1" customWidth="1"/>
    <col min="1795" max="1806" width="8.42578125" customWidth="1"/>
    <col min="1807" max="1807" width="12.42578125" customWidth="1"/>
    <col min="2049" max="2049" width="14.7109375" customWidth="1"/>
    <col min="2050" max="2050" width="20.140625" bestFit="1" customWidth="1"/>
    <col min="2051" max="2062" width="8.42578125" customWidth="1"/>
    <col min="2063" max="2063" width="12.42578125" customWidth="1"/>
    <col min="2305" max="2305" width="14.7109375" customWidth="1"/>
    <col min="2306" max="2306" width="20.140625" bestFit="1" customWidth="1"/>
    <col min="2307" max="2318" width="8.42578125" customWidth="1"/>
    <col min="2319" max="2319" width="12.42578125" customWidth="1"/>
    <col min="2561" max="2561" width="14.7109375" customWidth="1"/>
    <col min="2562" max="2562" width="20.140625" bestFit="1" customWidth="1"/>
    <col min="2563" max="2574" width="8.42578125" customWidth="1"/>
    <col min="2575" max="2575" width="12.42578125" customWidth="1"/>
    <col min="2817" max="2817" width="14.7109375" customWidth="1"/>
    <col min="2818" max="2818" width="20.140625" bestFit="1" customWidth="1"/>
    <col min="2819" max="2830" width="8.42578125" customWidth="1"/>
    <col min="2831" max="2831" width="12.42578125" customWidth="1"/>
    <col min="3073" max="3073" width="14.7109375" customWidth="1"/>
    <col min="3074" max="3074" width="20.140625" bestFit="1" customWidth="1"/>
    <col min="3075" max="3086" width="8.42578125" customWidth="1"/>
    <col min="3087" max="3087" width="12.42578125" customWidth="1"/>
    <col min="3329" max="3329" width="14.7109375" customWidth="1"/>
    <col min="3330" max="3330" width="20.140625" bestFit="1" customWidth="1"/>
    <col min="3331" max="3342" width="8.42578125" customWidth="1"/>
    <col min="3343" max="3343" width="12.42578125" customWidth="1"/>
    <col min="3585" max="3585" width="14.7109375" customWidth="1"/>
    <col min="3586" max="3586" width="20.140625" bestFit="1" customWidth="1"/>
    <col min="3587" max="3598" width="8.42578125" customWidth="1"/>
    <col min="3599" max="3599" width="12.42578125" customWidth="1"/>
    <col min="3841" max="3841" width="14.7109375" customWidth="1"/>
    <col min="3842" max="3842" width="20.140625" bestFit="1" customWidth="1"/>
    <col min="3843" max="3854" width="8.42578125" customWidth="1"/>
    <col min="3855" max="3855" width="12.42578125" customWidth="1"/>
    <col min="4097" max="4097" width="14.7109375" customWidth="1"/>
    <col min="4098" max="4098" width="20.140625" bestFit="1" customWidth="1"/>
    <col min="4099" max="4110" width="8.42578125" customWidth="1"/>
    <col min="4111" max="4111" width="12.42578125" customWidth="1"/>
    <col min="4353" max="4353" width="14.7109375" customWidth="1"/>
    <col min="4354" max="4354" width="20.140625" bestFit="1" customWidth="1"/>
    <col min="4355" max="4366" width="8.42578125" customWidth="1"/>
    <col min="4367" max="4367" width="12.42578125" customWidth="1"/>
    <col min="4609" max="4609" width="14.7109375" customWidth="1"/>
    <col min="4610" max="4610" width="20.140625" bestFit="1" customWidth="1"/>
    <col min="4611" max="4622" width="8.42578125" customWidth="1"/>
    <col min="4623" max="4623" width="12.42578125" customWidth="1"/>
    <col min="4865" max="4865" width="14.7109375" customWidth="1"/>
    <col min="4866" max="4866" width="20.140625" bestFit="1" customWidth="1"/>
    <col min="4867" max="4878" width="8.42578125" customWidth="1"/>
    <col min="4879" max="4879" width="12.42578125" customWidth="1"/>
    <col min="5121" max="5121" width="14.7109375" customWidth="1"/>
    <col min="5122" max="5122" width="20.140625" bestFit="1" customWidth="1"/>
    <col min="5123" max="5134" width="8.42578125" customWidth="1"/>
    <col min="5135" max="5135" width="12.42578125" customWidth="1"/>
    <col min="5377" max="5377" width="14.7109375" customWidth="1"/>
    <col min="5378" max="5378" width="20.140625" bestFit="1" customWidth="1"/>
    <col min="5379" max="5390" width="8.42578125" customWidth="1"/>
    <col min="5391" max="5391" width="12.42578125" customWidth="1"/>
    <col min="5633" max="5633" width="14.7109375" customWidth="1"/>
    <col min="5634" max="5634" width="20.140625" bestFit="1" customWidth="1"/>
    <col min="5635" max="5646" width="8.42578125" customWidth="1"/>
    <col min="5647" max="5647" width="12.42578125" customWidth="1"/>
    <col min="5889" max="5889" width="14.7109375" customWidth="1"/>
    <col min="5890" max="5890" width="20.140625" bestFit="1" customWidth="1"/>
    <col min="5891" max="5902" width="8.42578125" customWidth="1"/>
    <col min="5903" max="5903" width="12.42578125" customWidth="1"/>
    <col min="6145" max="6145" width="14.7109375" customWidth="1"/>
    <col min="6146" max="6146" width="20.140625" bestFit="1" customWidth="1"/>
    <col min="6147" max="6158" width="8.42578125" customWidth="1"/>
    <col min="6159" max="6159" width="12.42578125" customWidth="1"/>
    <col min="6401" max="6401" width="14.7109375" customWidth="1"/>
    <col min="6402" max="6402" width="20.140625" bestFit="1" customWidth="1"/>
    <col min="6403" max="6414" width="8.42578125" customWidth="1"/>
    <col min="6415" max="6415" width="12.42578125" customWidth="1"/>
    <col min="6657" max="6657" width="14.7109375" customWidth="1"/>
    <col min="6658" max="6658" width="20.140625" bestFit="1" customWidth="1"/>
    <col min="6659" max="6670" width="8.42578125" customWidth="1"/>
    <col min="6671" max="6671" width="12.42578125" customWidth="1"/>
    <col min="6913" max="6913" width="14.7109375" customWidth="1"/>
    <col min="6914" max="6914" width="20.140625" bestFit="1" customWidth="1"/>
    <col min="6915" max="6926" width="8.42578125" customWidth="1"/>
    <col min="6927" max="6927" width="12.42578125" customWidth="1"/>
    <col min="7169" max="7169" width="14.7109375" customWidth="1"/>
    <col min="7170" max="7170" width="20.140625" bestFit="1" customWidth="1"/>
    <col min="7171" max="7182" width="8.42578125" customWidth="1"/>
    <col min="7183" max="7183" width="12.42578125" customWidth="1"/>
    <col min="7425" max="7425" width="14.7109375" customWidth="1"/>
    <col min="7426" max="7426" width="20.140625" bestFit="1" customWidth="1"/>
    <col min="7427" max="7438" width="8.42578125" customWidth="1"/>
    <col min="7439" max="7439" width="12.42578125" customWidth="1"/>
    <col min="7681" max="7681" width="14.7109375" customWidth="1"/>
    <col min="7682" max="7682" width="20.140625" bestFit="1" customWidth="1"/>
    <col min="7683" max="7694" width="8.42578125" customWidth="1"/>
    <col min="7695" max="7695" width="12.42578125" customWidth="1"/>
    <col min="7937" max="7937" width="14.7109375" customWidth="1"/>
    <col min="7938" max="7938" width="20.140625" bestFit="1" customWidth="1"/>
    <col min="7939" max="7950" width="8.42578125" customWidth="1"/>
    <col min="7951" max="7951" width="12.42578125" customWidth="1"/>
    <col min="8193" max="8193" width="14.7109375" customWidth="1"/>
    <col min="8194" max="8194" width="20.140625" bestFit="1" customWidth="1"/>
    <col min="8195" max="8206" width="8.42578125" customWidth="1"/>
    <col min="8207" max="8207" width="12.42578125" customWidth="1"/>
    <col min="8449" max="8449" width="14.7109375" customWidth="1"/>
    <col min="8450" max="8450" width="20.140625" bestFit="1" customWidth="1"/>
    <col min="8451" max="8462" width="8.42578125" customWidth="1"/>
    <col min="8463" max="8463" width="12.42578125" customWidth="1"/>
    <col min="8705" max="8705" width="14.7109375" customWidth="1"/>
    <col min="8706" max="8706" width="20.140625" bestFit="1" customWidth="1"/>
    <col min="8707" max="8718" width="8.42578125" customWidth="1"/>
    <col min="8719" max="8719" width="12.42578125" customWidth="1"/>
    <col min="8961" max="8961" width="14.7109375" customWidth="1"/>
    <col min="8962" max="8962" width="20.140625" bestFit="1" customWidth="1"/>
    <col min="8963" max="8974" width="8.42578125" customWidth="1"/>
    <col min="8975" max="8975" width="12.42578125" customWidth="1"/>
    <col min="9217" max="9217" width="14.7109375" customWidth="1"/>
    <col min="9218" max="9218" width="20.140625" bestFit="1" customWidth="1"/>
    <col min="9219" max="9230" width="8.42578125" customWidth="1"/>
    <col min="9231" max="9231" width="12.42578125" customWidth="1"/>
    <col min="9473" max="9473" width="14.7109375" customWidth="1"/>
    <col min="9474" max="9474" width="20.140625" bestFit="1" customWidth="1"/>
    <col min="9475" max="9486" width="8.42578125" customWidth="1"/>
    <col min="9487" max="9487" width="12.42578125" customWidth="1"/>
    <col min="9729" max="9729" width="14.7109375" customWidth="1"/>
    <col min="9730" max="9730" width="20.140625" bestFit="1" customWidth="1"/>
    <col min="9731" max="9742" width="8.42578125" customWidth="1"/>
    <col min="9743" max="9743" width="12.42578125" customWidth="1"/>
    <col min="9985" max="9985" width="14.7109375" customWidth="1"/>
    <col min="9986" max="9986" width="20.140625" bestFit="1" customWidth="1"/>
    <col min="9987" max="9998" width="8.42578125" customWidth="1"/>
    <col min="9999" max="9999" width="12.42578125" customWidth="1"/>
    <col min="10241" max="10241" width="14.7109375" customWidth="1"/>
    <col min="10242" max="10242" width="20.140625" bestFit="1" customWidth="1"/>
    <col min="10243" max="10254" width="8.42578125" customWidth="1"/>
    <col min="10255" max="10255" width="12.42578125" customWidth="1"/>
    <col min="10497" max="10497" width="14.7109375" customWidth="1"/>
    <col min="10498" max="10498" width="20.140625" bestFit="1" customWidth="1"/>
    <col min="10499" max="10510" width="8.42578125" customWidth="1"/>
    <col min="10511" max="10511" width="12.42578125" customWidth="1"/>
    <col min="10753" max="10753" width="14.7109375" customWidth="1"/>
    <col min="10754" max="10754" width="20.140625" bestFit="1" customWidth="1"/>
    <col min="10755" max="10766" width="8.42578125" customWidth="1"/>
    <col min="10767" max="10767" width="12.42578125" customWidth="1"/>
    <col min="11009" max="11009" width="14.7109375" customWidth="1"/>
    <col min="11010" max="11010" width="20.140625" bestFit="1" customWidth="1"/>
    <col min="11011" max="11022" width="8.42578125" customWidth="1"/>
    <col min="11023" max="11023" width="12.42578125" customWidth="1"/>
    <col min="11265" max="11265" width="14.7109375" customWidth="1"/>
    <col min="11266" max="11266" width="20.140625" bestFit="1" customWidth="1"/>
    <col min="11267" max="11278" width="8.42578125" customWidth="1"/>
    <col min="11279" max="11279" width="12.42578125" customWidth="1"/>
    <col min="11521" max="11521" width="14.7109375" customWidth="1"/>
    <col min="11522" max="11522" width="20.140625" bestFit="1" customWidth="1"/>
    <col min="11523" max="11534" width="8.42578125" customWidth="1"/>
    <col min="11535" max="11535" width="12.42578125" customWidth="1"/>
    <col min="11777" max="11777" width="14.7109375" customWidth="1"/>
    <col min="11778" max="11778" width="20.140625" bestFit="1" customWidth="1"/>
    <col min="11779" max="11790" width="8.42578125" customWidth="1"/>
    <col min="11791" max="11791" width="12.42578125" customWidth="1"/>
    <col min="12033" max="12033" width="14.7109375" customWidth="1"/>
    <col min="12034" max="12034" width="20.140625" bestFit="1" customWidth="1"/>
    <col min="12035" max="12046" width="8.42578125" customWidth="1"/>
    <col min="12047" max="12047" width="12.42578125" customWidth="1"/>
    <col min="12289" max="12289" width="14.7109375" customWidth="1"/>
    <col min="12290" max="12290" width="20.140625" bestFit="1" customWidth="1"/>
    <col min="12291" max="12302" width="8.42578125" customWidth="1"/>
    <col min="12303" max="12303" width="12.42578125" customWidth="1"/>
    <col min="12545" max="12545" width="14.7109375" customWidth="1"/>
    <col min="12546" max="12546" width="20.140625" bestFit="1" customWidth="1"/>
    <col min="12547" max="12558" width="8.42578125" customWidth="1"/>
    <col min="12559" max="12559" width="12.42578125" customWidth="1"/>
    <col min="12801" max="12801" width="14.7109375" customWidth="1"/>
    <col min="12802" max="12802" width="20.140625" bestFit="1" customWidth="1"/>
    <col min="12803" max="12814" width="8.42578125" customWidth="1"/>
    <col min="12815" max="12815" width="12.42578125" customWidth="1"/>
    <col min="13057" max="13057" width="14.7109375" customWidth="1"/>
    <col min="13058" max="13058" width="20.140625" bestFit="1" customWidth="1"/>
    <col min="13059" max="13070" width="8.42578125" customWidth="1"/>
    <col min="13071" max="13071" width="12.42578125" customWidth="1"/>
    <col min="13313" max="13313" width="14.7109375" customWidth="1"/>
    <col min="13314" max="13314" width="20.140625" bestFit="1" customWidth="1"/>
    <col min="13315" max="13326" width="8.42578125" customWidth="1"/>
    <col min="13327" max="13327" width="12.42578125" customWidth="1"/>
    <col min="13569" max="13569" width="14.7109375" customWidth="1"/>
    <col min="13570" max="13570" width="20.140625" bestFit="1" customWidth="1"/>
    <col min="13571" max="13582" width="8.42578125" customWidth="1"/>
    <col min="13583" max="13583" width="12.42578125" customWidth="1"/>
    <col min="13825" max="13825" width="14.7109375" customWidth="1"/>
    <col min="13826" max="13826" width="20.140625" bestFit="1" customWidth="1"/>
    <col min="13827" max="13838" width="8.42578125" customWidth="1"/>
    <col min="13839" max="13839" width="12.42578125" customWidth="1"/>
    <col min="14081" max="14081" width="14.7109375" customWidth="1"/>
    <col min="14082" max="14082" width="20.140625" bestFit="1" customWidth="1"/>
    <col min="14083" max="14094" width="8.42578125" customWidth="1"/>
    <col min="14095" max="14095" width="12.42578125" customWidth="1"/>
    <col min="14337" max="14337" width="14.7109375" customWidth="1"/>
    <col min="14338" max="14338" width="20.140625" bestFit="1" customWidth="1"/>
    <col min="14339" max="14350" width="8.42578125" customWidth="1"/>
    <col min="14351" max="14351" width="12.42578125" customWidth="1"/>
    <col min="14593" max="14593" width="14.7109375" customWidth="1"/>
    <col min="14594" max="14594" width="20.140625" bestFit="1" customWidth="1"/>
    <col min="14595" max="14606" width="8.42578125" customWidth="1"/>
    <col min="14607" max="14607" width="12.42578125" customWidth="1"/>
    <col min="14849" max="14849" width="14.7109375" customWidth="1"/>
    <col min="14850" max="14850" width="20.140625" bestFit="1" customWidth="1"/>
    <col min="14851" max="14862" width="8.42578125" customWidth="1"/>
    <col min="14863" max="14863" width="12.42578125" customWidth="1"/>
    <col min="15105" max="15105" width="14.7109375" customWidth="1"/>
    <col min="15106" max="15106" width="20.140625" bestFit="1" customWidth="1"/>
    <col min="15107" max="15118" width="8.42578125" customWidth="1"/>
    <col min="15119" max="15119" width="12.42578125" customWidth="1"/>
    <col min="15361" max="15361" width="14.7109375" customWidth="1"/>
    <col min="15362" max="15362" width="20.140625" bestFit="1" customWidth="1"/>
    <col min="15363" max="15374" width="8.42578125" customWidth="1"/>
    <col min="15375" max="15375" width="12.42578125" customWidth="1"/>
    <col min="15617" max="15617" width="14.7109375" customWidth="1"/>
    <col min="15618" max="15618" width="20.140625" bestFit="1" customWidth="1"/>
    <col min="15619" max="15630" width="8.42578125" customWidth="1"/>
    <col min="15631" max="15631" width="12.42578125" customWidth="1"/>
    <col min="15873" max="15873" width="14.7109375" customWidth="1"/>
    <col min="15874" max="15874" width="20.140625" bestFit="1" customWidth="1"/>
    <col min="15875" max="15886" width="8.42578125" customWidth="1"/>
    <col min="15887" max="15887" width="12.42578125" customWidth="1"/>
    <col min="16129" max="16129" width="14.7109375" customWidth="1"/>
    <col min="16130" max="16130" width="20.140625" bestFit="1" customWidth="1"/>
    <col min="16131" max="16142" width="8.42578125" customWidth="1"/>
    <col min="16143" max="16143" width="12.42578125" customWidth="1"/>
  </cols>
  <sheetData>
    <row r="4" spans="2:15" ht="42.75" customHeight="1"/>
    <row r="5" spans="2:15">
      <c r="B5" s="180" t="s">
        <v>219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2"/>
    </row>
    <row r="6" spans="2:15">
      <c r="B6" s="47" t="s">
        <v>6</v>
      </c>
      <c r="C6" s="183" t="s">
        <v>16</v>
      </c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4"/>
    </row>
    <row r="7" spans="2:15">
      <c r="B7" s="48"/>
      <c r="C7" s="48" t="s">
        <v>17</v>
      </c>
      <c r="D7" s="48" t="s">
        <v>18</v>
      </c>
      <c r="E7" s="48" t="s">
        <v>19</v>
      </c>
      <c r="F7" s="48" t="s">
        <v>20</v>
      </c>
      <c r="G7" s="48" t="s">
        <v>21</v>
      </c>
      <c r="H7" s="48" t="s">
        <v>22</v>
      </c>
      <c r="I7" s="48" t="s">
        <v>23</v>
      </c>
      <c r="J7" s="48" t="s">
        <v>24</v>
      </c>
      <c r="K7" s="48" t="s">
        <v>25</v>
      </c>
      <c r="L7" s="48" t="s">
        <v>26</v>
      </c>
      <c r="M7" s="48" t="s">
        <v>27</v>
      </c>
      <c r="N7" s="48" t="s">
        <v>28</v>
      </c>
      <c r="O7" s="49" t="s">
        <v>15</v>
      </c>
    </row>
    <row r="8" spans="2:15">
      <c r="B8" s="47" t="s">
        <v>43</v>
      </c>
      <c r="C8" s="117">
        <f>'Cuenta de reslultados año1'!C10</f>
        <v>46266</v>
      </c>
      <c r="D8" s="117">
        <f>'Cuenta de reslultados año1'!D10</f>
        <v>46296</v>
      </c>
      <c r="E8" s="117">
        <f>'Cuenta de reslultados año1'!E10</f>
        <v>46327</v>
      </c>
      <c r="F8" s="117">
        <f>'Cuenta de reslultados año1'!F10</f>
        <v>46357</v>
      </c>
      <c r="G8" s="117">
        <f>'Cuenta de reslultados año1'!G10</f>
        <v>46388</v>
      </c>
      <c r="H8" s="117">
        <f>'Cuenta de reslultados año1'!H10</f>
        <v>46419</v>
      </c>
      <c r="I8" s="117">
        <f>'Cuenta de reslultados año1'!I10</f>
        <v>46447</v>
      </c>
      <c r="J8" s="117">
        <f>'Cuenta de reslultados año1'!J10</f>
        <v>46478</v>
      </c>
      <c r="K8" s="117">
        <f>'Cuenta de reslultados año1'!K10</f>
        <v>46508</v>
      </c>
      <c r="L8" s="117">
        <f>'Cuenta de reslultados año1'!L10</f>
        <v>46539</v>
      </c>
      <c r="M8" s="117">
        <f>'Cuenta de reslultados año1'!M10</f>
        <v>46569</v>
      </c>
      <c r="N8" s="117">
        <f>'Cuenta de reslultados año1'!N10</f>
        <v>46600</v>
      </c>
      <c r="O8" s="103"/>
    </row>
    <row r="9" spans="2:15">
      <c r="B9" s="3" t="s">
        <v>107</v>
      </c>
      <c r="C9" s="152">
        <f>Ventas!C30</f>
        <v>0</v>
      </c>
      <c r="D9" s="152">
        <f>Ventas!D30</f>
        <v>290.39999999999998</v>
      </c>
      <c r="E9" s="152">
        <f>Ventas!E30</f>
        <v>1075.69</v>
      </c>
      <c r="F9" s="152">
        <f>Ventas!F30</f>
        <v>2222.77</v>
      </c>
      <c r="G9" s="152">
        <f>Ventas!G30</f>
        <v>7480.2199999999993</v>
      </c>
      <c r="H9" s="152">
        <f>Ventas!H30</f>
        <v>4445.54</v>
      </c>
      <c r="I9" s="152">
        <f>Ventas!I30</f>
        <v>8846.31</v>
      </c>
      <c r="J9" s="152">
        <f>Ventas!J30</f>
        <v>9993.39</v>
      </c>
      <c r="K9" s="152">
        <f>Ventas!K30</f>
        <v>11359.48</v>
      </c>
      <c r="L9" s="152">
        <f>Ventas!L30</f>
        <v>11649.88</v>
      </c>
      <c r="M9" s="152">
        <f>Ventas!M30</f>
        <v>6247.23</v>
      </c>
      <c r="N9" s="152">
        <f>Ventas!N30</f>
        <v>7915.82</v>
      </c>
      <c r="O9" s="159">
        <f>SUM(C9:N9)</f>
        <v>71526.73000000001</v>
      </c>
    </row>
    <row r="10" spans="2:15">
      <c r="B10" s="3" t="s">
        <v>108</v>
      </c>
      <c r="C10" s="152"/>
      <c r="D10" s="152"/>
      <c r="E10" s="152"/>
      <c r="F10" s="152"/>
      <c r="G10" s="152"/>
      <c r="H10" s="152"/>
      <c r="I10" s="152"/>
      <c r="J10" s="152"/>
      <c r="K10" s="152"/>
      <c r="L10" s="81"/>
      <c r="M10" s="81"/>
      <c r="N10" s="160"/>
      <c r="O10" s="159">
        <f>SUM(C10:N10)</f>
        <v>0</v>
      </c>
    </row>
    <row r="11" spans="2:15">
      <c r="B11" s="47" t="s">
        <v>44</v>
      </c>
      <c r="C11" s="161">
        <f>SUM(C9:C10)</f>
        <v>0</v>
      </c>
      <c r="D11" s="161">
        <f>SUM(D9:D10)</f>
        <v>290.39999999999998</v>
      </c>
      <c r="E11" s="161">
        <f t="shared" ref="E11:N11" si="0">SUM(E9:E10)</f>
        <v>1075.69</v>
      </c>
      <c r="F11" s="161">
        <f t="shared" si="0"/>
        <v>2222.77</v>
      </c>
      <c r="G11" s="161">
        <f t="shared" si="0"/>
        <v>7480.2199999999993</v>
      </c>
      <c r="H11" s="161">
        <f t="shared" si="0"/>
        <v>4445.54</v>
      </c>
      <c r="I11" s="161">
        <f t="shared" si="0"/>
        <v>8846.31</v>
      </c>
      <c r="J11" s="161">
        <f t="shared" si="0"/>
        <v>9993.39</v>
      </c>
      <c r="K11" s="161">
        <f t="shared" si="0"/>
        <v>11359.48</v>
      </c>
      <c r="L11" s="161">
        <f t="shared" si="0"/>
        <v>11649.88</v>
      </c>
      <c r="M11" s="161">
        <f t="shared" si="0"/>
        <v>6247.23</v>
      </c>
      <c r="N11" s="161">
        <f t="shared" si="0"/>
        <v>7915.82</v>
      </c>
      <c r="O11" s="163">
        <f>SUM(O1:O10)</f>
        <v>71526.73000000001</v>
      </c>
    </row>
    <row r="12" spans="2:15">
      <c r="B12" s="47" t="s">
        <v>45</v>
      </c>
      <c r="C12" s="185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187"/>
    </row>
    <row r="13" spans="2:15">
      <c r="B13" s="3" t="s">
        <v>35</v>
      </c>
      <c r="C13" s="152">
        <f>Costes!C17*1.1</f>
        <v>0</v>
      </c>
      <c r="D13" s="152">
        <f>Costes!D17*1.1</f>
        <v>66</v>
      </c>
      <c r="E13" s="152">
        <f>Costes!E17*1.1</f>
        <v>445.50000000000006</v>
      </c>
      <c r="F13" s="152">
        <f>Costes!F17*1.1</f>
        <v>683.1</v>
      </c>
      <c r="G13" s="152">
        <f>Costes!G17*1.1</f>
        <v>2158.2000000000003</v>
      </c>
      <c r="H13" s="152">
        <f>Costes!H17*1.1</f>
        <v>1366.2</v>
      </c>
      <c r="I13" s="152">
        <f>Costes!I17*1.1</f>
        <v>2669.7000000000003</v>
      </c>
      <c r="J13" s="152">
        <f>Costes!J17*1.1</f>
        <v>2907.3</v>
      </c>
      <c r="K13" s="152">
        <f>Costes!K17*1.1</f>
        <v>3418.8</v>
      </c>
      <c r="L13" s="152">
        <f>Costes!L17*1.1</f>
        <v>3484.8</v>
      </c>
      <c r="M13" s="152">
        <f>Costes!M17*1.1</f>
        <v>1976.7000000000003</v>
      </c>
      <c r="N13" s="152">
        <f>Costes!N17*1.1</f>
        <v>2257.2000000000003</v>
      </c>
      <c r="O13" s="159">
        <f>SUM(C13:N13)</f>
        <v>21433.5</v>
      </c>
    </row>
    <row r="14" spans="2:15">
      <c r="B14" s="3" t="s">
        <v>48</v>
      </c>
      <c r="C14" s="152">
        <f>Costes!C19*1.21</f>
        <v>484</v>
      </c>
      <c r="D14" s="152">
        <f>Costes!D19*1.21</f>
        <v>484</v>
      </c>
      <c r="E14" s="152">
        <f>Costes!E19*1.21</f>
        <v>484</v>
      </c>
      <c r="F14" s="152">
        <f>Costes!F19*1.21</f>
        <v>484</v>
      </c>
      <c r="G14" s="152">
        <f>Costes!G19*1.21</f>
        <v>484</v>
      </c>
      <c r="H14" s="152">
        <f>Costes!H19*1.21</f>
        <v>484</v>
      </c>
      <c r="I14" s="152">
        <f>Costes!I19*1.21</f>
        <v>484</v>
      </c>
      <c r="J14" s="152">
        <f>Costes!J19*1.21</f>
        <v>484</v>
      </c>
      <c r="K14" s="152">
        <f>Costes!K19*1.21</f>
        <v>484</v>
      </c>
      <c r="L14" s="152">
        <f>Costes!L19*1.21</f>
        <v>484</v>
      </c>
      <c r="M14" s="152">
        <f>Costes!M19*1.21</f>
        <v>484</v>
      </c>
      <c r="N14" s="152">
        <f>Costes!N19*1.21</f>
        <v>484</v>
      </c>
      <c r="O14" s="159">
        <f>SUM(C14:N14)</f>
        <v>5808</v>
      </c>
    </row>
    <row r="15" spans="2:15">
      <c r="B15" s="3" t="s">
        <v>46</v>
      </c>
      <c r="C15" s="152">
        <f>Costes!C20*1.21</f>
        <v>108.89999999999999</v>
      </c>
      <c r="D15" s="152">
        <f>Costes!D20*1.21</f>
        <v>108.89999999999999</v>
      </c>
      <c r="E15" s="152">
        <f>Costes!E20*1.21</f>
        <v>108.89999999999999</v>
      </c>
      <c r="F15" s="152">
        <f>Costes!F20*1.21</f>
        <v>108.89999999999999</v>
      </c>
      <c r="G15" s="152">
        <f>Costes!G20*1.21</f>
        <v>108.89999999999999</v>
      </c>
      <c r="H15" s="152">
        <f>Costes!H20*1.21</f>
        <v>108.89999999999999</v>
      </c>
      <c r="I15" s="152">
        <f>Costes!I20*1.21</f>
        <v>108.89999999999999</v>
      </c>
      <c r="J15" s="152">
        <f>Costes!J20*1.21</f>
        <v>108.89999999999999</v>
      </c>
      <c r="K15" s="152">
        <f>Costes!K20*1.21</f>
        <v>108.89999999999999</v>
      </c>
      <c r="L15" s="152">
        <f>Costes!L20*1.21</f>
        <v>108.89999999999999</v>
      </c>
      <c r="M15" s="152">
        <f>Costes!M20*1.21</f>
        <v>108.89999999999999</v>
      </c>
      <c r="N15" s="152">
        <f>Costes!N20*1.21</f>
        <v>108.89999999999999</v>
      </c>
      <c r="O15" s="159">
        <f t="shared" ref="O15:O22" si="1">SUM(C15:N15)</f>
        <v>1306.8000000000002</v>
      </c>
    </row>
    <row r="16" spans="2:15">
      <c r="B16" s="3" t="s">
        <v>47</v>
      </c>
      <c r="C16" s="152">
        <f>Costes!C21*1.21</f>
        <v>943.8</v>
      </c>
      <c r="D16" s="152">
        <f>Costes!D21*1.21</f>
        <v>943.8</v>
      </c>
      <c r="E16" s="152">
        <f>Costes!E21*1.21</f>
        <v>943.8</v>
      </c>
      <c r="F16" s="152">
        <f>Costes!F21*1.21</f>
        <v>943.8</v>
      </c>
      <c r="G16" s="152">
        <f>Costes!G21*1.21</f>
        <v>943.8</v>
      </c>
      <c r="H16" s="152">
        <f>Costes!H21*1.21</f>
        <v>943.8</v>
      </c>
      <c r="I16" s="152">
        <f>Costes!I21*1.21</f>
        <v>943.8</v>
      </c>
      <c r="J16" s="152">
        <f>Costes!J21*1.21</f>
        <v>943.8</v>
      </c>
      <c r="K16" s="152">
        <f>Costes!K21*1.21</f>
        <v>943.8</v>
      </c>
      <c r="L16" s="152">
        <f>Costes!L21*1.21</f>
        <v>943.8</v>
      </c>
      <c r="M16" s="152">
        <f>Costes!M21*1.21</f>
        <v>943.8</v>
      </c>
      <c r="N16" s="152">
        <f>Costes!N21*1.21</f>
        <v>943.8</v>
      </c>
      <c r="O16" s="159">
        <f t="shared" si="1"/>
        <v>11325.599999999999</v>
      </c>
    </row>
    <row r="17" spans="2:15">
      <c r="B17" s="3" t="s">
        <v>158</v>
      </c>
      <c r="C17" s="152">
        <f>Costes!C22</f>
        <v>50</v>
      </c>
      <c r="D17" s="152">
        <f>Costes!D22</f>
        <v>50</v>
      </c>
      <c r="E17" s="152">
        <f>Costes!E22</f>
        <v>50</v>
      </c>
      <c r="F17" s="152">
        <f>Costes!F22</f>
        <v>50</v>
      </c>
      <c r="G17" s="152">
        <f>Costes!G22</f>
        <v>50</v>
      </c>
      <c r="H17" s="152">
        <f>Costes!H22</f>
        <v>50</v>
      </c>
      <c r="I17" s="152">
        <f>Costes!I22</f>
        <v>50</v>
      </c>
      <c r="J17" s="152">
        <f>Costes!J22</f>
        <v>50</v>
      </c>
      <c r="K17" s="152">
        <f>Costes!K22</f>
        <v>50</v>
      </c>
      <c r="L17" s="152">
        <f>Costes!L22</f>
        <v>50</v>
      </c>
      <c r="M17" s="152">
        <f>Costes!M22</f>
        <v>50</v>
      </c>
      <c r="N17" s="152">
        <f>Costes!N22</f>
        <v>50</v>
      </c>
      <c r="O17" s="159">
        <f t="shared" si="1"/>
        <v>600</v>
      </c>
    </row>
    <row r="18" spans="2:15">
      <c r="B18" s="110" t="s">
        <v>159</v>
      </c>
      <c r="C18" s="155">
        <f>Costes!C23</f>
        <v>1825</v>
      </c>
      <c r="D18" s="155">
        <f>Costes!D23</f>
        <v>1825</v>
      </c>
      <c r="E18" s="155">
        <f>Costes!E23</f>
        <v>1825</v>
      </c>
      <c r="F18" s="155">
        <f>Costes!F23</f>
        <v>1825</v>
      </c>
      <c r="G18" s="155">
        <f>Costes!G23</f>
        <v>2800</v>
      </c>
      <c r="H18" s="155">
        <f>Costes!H23</f>
        <v>2800</v>
      </c>
      <c r="I18" s="155">
        <f>Costes!I23</f>
        <v>2800</v>
      </c>
      <c r="J18" s="155">
        <f>Costes!J23</f>
        <v>2800</v>
      </c>
      <c r="K18" s="155">
        <f>Costes!K23</f>
        <v>2800</v>
      </c>
      <c r="L18" s="155">
        <f>Costes!L23</f>
        <v>2800</v>
      </c>
      <c r="M18" s="155">
        <f>Costes!M23</f>
        <v>2800</v>
      </c>
      <c r="N18" s="155">
        <f>Costes!N23</f>
        <v>2800</v>
      </c>
      <c r="O18" s="162">
        <f t="shared" si="1"/>
        <v>29700</v>
      </c>
    </row>
    <row r="19" spans="2:15">
      <c r="B19" s="3" t="s">
        <v>5</v>
      </c>
      <c r="C19" s="152">
        <f>Costes!C25</f>
        <v>340</v>
      </c>
      <c r="D19" s="152">
        <f>Costes!D25</f>
        <v>340</v>
      </c>
      <c r="E19" s="152">
        <f>Costes!E25</f>
        <v>340</v>
      </c>
      <c r="F19" s="152">
        <f>Costes!F25</f>
        <v>340</v>
      </c>
      <c r="G19" s="152">
        <f>Costes!G25</f>
        <v>340</v>
      </c>
      <c r="H19" s="152">
        <f>Costes!H25</f>
        <v>340</v>
      </c>
      <c r="I19" s="152">
        <f>Costes!I25</f>
        <v>340</v>
      </c>
      <c r="J19" s="152">
        <f>Costes!J25</f>
        <v>340</v>
      </c>
      <c r="K19" s="152">
        <f>Costes!K25</f>
        <v>340</v>
      </c>
      <c r="L19" s="152">
        <f>Costes!L25</f>
        <v>340</v>
      </c>
      <c r="M19" s="152">
        <f>Costes!M25</f>
        <v>340</v>
      </c>
      <c r="N19" s="152">
        <f>Costes!N25</f>
        <v>340</v>
      </c>
      <c r="O19" s="159">
        <f t="shared" si="1"/>
        <v>4080</v>
      </c>
    </row>
    <row r="20" spans="2:15">
      <c r="B20" s="3" t="s">
        <v>49</v>
      </c>
      <c r="C20" s="152" cm="1">
        <f t="array" ref="C20">INDEX('Cuadro amortización crédito'!$C$13:$C$84,COLUMN(A1))</f>
        <v>172.50000000000003</v>
      </c>
      <c r="D20" s="152" cm="1">
        <f t="array" ref="D20">INDEX('Cuadro amortización crédito'!$C$13:$C$84,COLUMN(B1))</f>
        <v>172.50000000000003</v>
      </c>
      <c r="E20" s="152" cm="1">
        <f t="array" ref="E20">INDEX('Cuadro amortización crédito'!$C$13:$C$84,COLUMN(C1))</f>
        <v>172.50000000000003</v>
      </c>
      <c r="F20" s="152" cm="1">
        <f t="array" ref="F20">INDEX('Cuadro amortización crédito'!$C$13:$C$84,COLUMN(D1))</f>
        <v>172.50000000000003</v>
      </c>
      <c r="G20" s="152" cm="1">
        <f t="array" ref="G20">INDEX('Cuadro amortización crédito'!$C$13:$C$84,COLUMN(E1))</f>
        <v>172.50000000000003</v>
      </c>
      <c r="H20" s="152" cm="1">
        <f t="array" ref="H20">INDEX('Cuadro amortización crédito'!$C$13:$C$84,COLUMN(F1))</f>
        <v>172.50000000000003</v>
      </c>
      <c r="I20" s="152" cm="1">
        <f t="array" ref="I20">INDEX('Cuadro amortización crédito'!$C$13:$C$84,COLUMN(G1))</f>
        <v>547.52777398942317</v>
      </c>
      <c r="J20" s="152" cm="1">
        <f t="array" ref="J20">INDEX('Cuadro amortización crédito'!$C$13:$C$84,COLUMN(H1))</f>
        <v>547.52777398942317</v>
      </c>
      <c r="K20" s="152" cm="1">
        <f t="array" ref="K20">INDEX('Cuadro amortización crédito'!$C$13:$C$84,COLUMN(I1))</f>
        <v>547.52777398942317</v>
      </c>
      <c r="L20" s="152" cm="1">
        <f t="array" ref="L20">INDEX('Cuadro amortización crédito'!$C$13:$C$84,COLUMN(J1))</f>
        <v>547.52777398942317</v>
      </c>
      <c r="M20" s="152" cm="1">
        <f t="array" ref="M20">INDEX('Cuadro amortización crédito'!$C$13:$C$84,COLUMN(K1))</f>
        <v>547.52777398942317</v>
      </c>
      <c r="N20" s="152" cm="1">
        <f t="array" ref="N20">INDEX('Cuadro amortización crédito'!$C$13:$C$84,COLUMN(L1))</f>
        <v>547.52777398942317</v>
      </c>
      <c r="O20" s="159">
        <f t="shared" si="1"/>
        <v>4320.166643936539</v>
      </c>
    </row>
    <row r="21" spans="2:15">
      <c r="B21" s="3" t="s">
        <v>212</v>
      </c>
      <c r="C21" s="152"/>
      <c r="D21" s="152"/>
      <c r="E21" s="152"/>
      <c r="F21" s="152">
        <v>-660.66</v>
      </c>
      <c r="G21" s="152"/>
      <c r="H21" s="152"/>
      <c r="I21" s="127">
        <v>852.18</v>
      </c>
      <c r="J21" s="152"/>
      <c r="K21" s="152"/>
      <c r="L21" s="127">
        <v>2723.7</v>
      </c>
      <c r="M21" s="81"/>
      <c r="N21" s="160"/>
      <c r="O21" s="159">
        <f t="shared" si="1"/>
        <v>2915.22</v>
      </c>
    </row>
    <row r="22" spans="2:15">
      <c r="B22" s="3"/>
      <c r="C22" s="152"/>
      <c r="D22" s="152"/>
      <c r="E22" s="152"/>
      <c r="F22" s="152"/>
      <c r="G22" s="152"/>
      <c r="H22" s="152"/>
      <c r="I22" s="152"/>
      <c r="J22" s="152"/>
      <c r="K22" s="152"/>
      <c r="L22" s="81"/>
      <c r="M22" s="81"/>
      <c r="N22" s="160"/>
      <c r="O22" s="159">
        <f t="shared" si="1"/>
        <v>0</v>
      </c>
    </row>
    <row r="23" spans="2:15">
      <c r="B23" s="47" t="s">
        <v>50</v>
      </c>
      <c r="C23" s="161">
        <f>SUM(C13:C22)</f>
        <v>3924.2</v>
      </c>
      <c r="D23" s="161">
        <f t="shared" ref="D23:O23" si="2">SUM(D13:D22)</f>
        <v>3990.2</v>
      </c>
      <c r="E23" s="161">
        <f t="shared" si="2"/>
        <v>4369.7</v>
      </c>
      <c r="F23" s="161">
        <f t="shared" si="2"/>
        <v>3946.6400000000003</v>
      </c>
      <c r="G23" s="161">
        <f t="shared" si="2"/>
        <v>7057.4000000000005</v>
      </c>
      <c r="H23" s="161">
        <f t="shared" si="2"/>
        <v>6265.4</v>
      </c>
      <c r="I23" s="161">
        <f t="shared" si="2"/>
        <v>8796.1077739894245</v>
      </c>
      <c r="J23" s="161">
        <f t="shared" si="2"/>
        <v>8181.5277739894227</v>
      </c>
      <c r="K23" s="161">
        <f t="shared" si="2"/>
        <v>8693.0277739894227</v>
      </c>
      <c r="L23" s="161">
        <f t="shared" si="2"/>
        <v>11482.727773989423</v>
      </c>
      <c r="M23" s="161">
        <f t="shared" si="2"/>
        <v>7250.9277739894242</v>
      </c>
      <c r="N23" s="161">
        <f t="shared" si="2"/>
        <v>7531.4277739894242</v>
      </c>
      <c r="O23" s="161">
        <f t="shared" si="2"/>
        <v>81489.286643936532</v>
      </c>
    </row>
    <row r="24" spans="2:15">
      <c r="B24" s="50" t="s">
        <v>51</v>
      </c>
      <c r="C24" s="153">
        <f t="shared" ref="C24:N24" si="3">C11-C23</f>
        <v>-3924.2</v>
      </c>
      <c r="D24" s="153">
        <f t="shared" si="3"/>
        <v>-3699.7999999999997</v>
      </c>
      <c r="E24" s="153">
        <f t="shared" si="3"/>
        <v>-3294.0099999999998</v>
      </c>
      <c r="F24" s="153">
        <f>F11-F23</f>
        <v>-1723.8700000000003</v>
      </c>
      <c r="G24" s="153">
        <f t="shared" si="3"/>
        <v>422.8199999999988</v>
      </c>
      <c r="H24" s="153">
        <f t="shared" si="3"/>
        <v>-1819.8599999999997</v>
      </c>
      <c r="I24" s="153">
        <f t="shared" si="3"/>
        <v>50.202226010575032</v>
      </c>
      <c r="J24" s="153">
        <f t="shared" si="3"/>
        <v>1811.8622260105767</v>
      </c>
      <c r="K24" s="153">
        <f t="shared" si="3"/>
        <v>2666.4522260105769</v>
      </c>
      <c r="L24" s="153">
        <f t="shared" si="3"/>
        <v>167.15222601057576</v>
      </c>
      <c r="M24" s="153">
        <f t="shared" si="3"/>
        <v>-1003.6977739894246</v>
      </c>
      <c r="N24" s="153">
        <f t="shared" si="3"/>
        <v>384.39222601057554</v>
      </c>
      <c r="O24" s="165">
        <f>SUM(C24:N24)</f>
        <v>-9962.5566439365466</v>
      </c>
    </row>
    <row r="25" spans="2:15" ht="15.75" thickBot="1">
      <c r="B25" s="52" t="s">
        <v>52</v>
      </c>
      <c r="C25" s="157">
        <f>C24</f>
        <v>-3924.2</v>
      </c>
      <c r="D25" s="157">
        <f>C25+D24</f>
        <v>-7624</v>
      </c>
      <c r="E25" s="157">
        <f t="shared" ref="E25:L25" si="4">D25+E24</f>
        <v>-10918.01</v>
      </c>
      <c r="F25" s="157">
        <f t="shared" si="4"/>
        <v>-12641.880000000001</v>
      </c>
      <c r="G25" s="157">
        <f t="shared" si="4"/>
        <v>-12219.060000000001</v>
      </c>
      <c r="H25" s="157">
        <f t="shared" si="4"/>
        <v>-14038.920000000002</v>
      </c>
      <c r="I25" s="157">
        <f t="shared" si="4"/>
        <v>-13988.717773989427</v>
      </c>
      <c r="J25" s="157">
        <f t="shared" si="4"/>
        <v>-12176.85554797885</v>
      </c>
      <c r="K25" s="157">
        <f t="shared" si="4"/>
        <v>-9510.4033219682733</v>
      </c>
      <c r="L25" s="157">
        <f t="shared" si="4"/>
        <v>-9343.2510959576975</v>
      </c>
      <c r="M25" s="157">
        <f t="shared" ref="M25" si="5">L25+M24</f>
        <v>-10346.948869947122</v>
      </c>
      <c r="N25" s="157">
        <f t="shared" ref="N25" si="6">M25+N24</f>
        <v>-9962.5566439365466</v>
      </c>
      <c r="O25" s="158"/>
    </row>
  </sheetData>
  <mergeCells count="3">
    <mergeCell ref="C12:O12"/>
    <mergeCell ref="B5:O5"/>
    <mergeCell ref="C6:O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DCC5E-07E0-42B8-BE50-464B95851AB7}">
  <dimension ref="B1:Q33"/>
  <sheetViews>
    <sheetView zoomScale="85" zoomScaleNormal="85" workbookViewId="0">
      <selection activeCell="D34" sqref="D34"/>
    </sheetView>
  </sheetViews>
  <sheetFormatPr baseColWidth="10" defaultRowHeight="15"/>
  <cols>
    <col min="1" max="1" width="14.7109375" customWidth="1"/>
    <col min="2" max="2" width="24" customWidth="1"/>
    <col min="3" max="3" width="12.140625" customWidth="1"/>
    <col min="4" max="4" width="11.85546875" customWidth="1"/>
    <col min="5" max="5" width="11.42578125" customWidth="1"/>
    <col min="6" max="6" width="20" customWidth="1"/>
    <col min="7" max="7" width="11.42578125" customWidth="1"/>
    <col min="8" max="8" width="12" customWidth="1"/>
    <col min="9" max="9" width="13.28515625" customWidth="1"/>
    <col min="257" max="257" width="14.7109375" customWidth="1"/>
    <col min="258" max="258" width="24" customWidth="1"/>
    <col min="259" max="261" width="7.42578125" customWidth="1"/>
    <col min="262" max="262" width="20" customWidth="1"/>
    <col min="263" max="265" width="7.42578125" customWidth="1"/>
    <col min="513" max="513" width="14.7109375" customWidth="1"/>
    <col min="514" max="514" width="24" customWidth="1"/>
    <col min="515" max="517" width="7.42578125" customWidth="1"/>
    <col min="518" max="518" width="20" customWidth="1"/>
    <col min="519" max="521" width="7.42578125" customWidth="1"/>
    <col min="769" max="769" width="14.7109375" customWidth="1"/>
    <col min="770" max="770" width="24" customWidth="1"/>
    <col min="771" max="773" width="7.42578125" customWidth="1"/>
    <col min="774" max="774" width="20" customWidth="1"/>
    <col min="775" max="777" width="7.42578125" customWidth="1"/>
    <col min="1025" max="1025" width="14.7109375" customWidth="1"/>
    <col min="1026" max="1026" width="24" customWidth="1"/>
    <col min="1027" max="1029" width="7.42578125" customWidth="1"/>
    <col min="1030" max="1030" width="20" customWidth="1"/>
    <col min="1031" max="1033" width="7.42578125" customWidth="1"/>
    <col min="1281" max="1281" width="14.7109375" customWidth="1"/>
    <col min="1282" max="1282" width="24" customWidth="1"/>
    <col min="1283" max="1285" width="7.42578125" customWidth="1"/>
    <col min="1286" max="1286" width="20" customWidth="1"/>
    <col min="1287" max="1289" width="7.42578125" customWidth="1"/>
    <col min="1537" max="1537" width="14.7109375" customWidth="1"/>
    <col min="1538" max="1538" width="24" customWidth="1"/>
    <col min="1539" max="1541" width="7.42578125" customWidth="1"/>
    <col min="1542" max="1542" width="20" customWidth="1"/>
    <col min="1543" max="1545" width="7.42578125" customWidth="1"/>
    <col min="1793" max="1793" width="14.7109375" customWidth="1"/>
    <col min="1794" max="1794" width="24" customWidth="1"/>
    <col min="1795" max="1797" width="7.42578125" customWidth="1"/>
    <col min="1798" max="1798" width="20" customWidth="1"/>
    <col min="1799" max="1801" width="7.42578125" customWidth="1"/>
    <col min="2049" max="2049" width="14.7109375" customWidth="1"/>
    <col min="2050" max="2050" width="24" customWidth="1"/>
    <col min="2051" max="2053" width="7.42578125" customWidth="1"/>
    <col min="2054" max="2054" width="20" customWidth="1"/>
    <col min="2055" max="2057" width="7.42578125" customWidth="1"/>
    <col min="2305" max="2305" width="14.7109375" customWidth="1"/>
    <col min="2306" max="2306" width="24" customWidth="1"/>
    <col min="2307" max="2309" width="7.42578125" customWidth="1"/>
    <col min="2310" max="2310" width="20" customWidth="1"/>
    <col min="2311" max="2313" width="7.42578125" customWidth="1"/>
    <col min="2561" max="2561" width="14.7109375" customWidth="1"/>
    <col min="2562" max="2562" width="24" customWidth="1"/>
    <col min="2563" max="2565" width="7.42578125" customWidth="1"/>
    <col min="2566" max="2566" width="20" customWidth="1"/>
    <col min="2567" max="2569" width="7.42578125" customWidth="1"/>
    <col min="2817" max="2817" width="14.7109375" customWidth="1"/>
    <col min="2818" max="2818" width="24" customWidth="1"/>
    <col min="2819" max="2821" width="7.42578125" customWidth="1"/>
    <col min="2822" max="2822" width="20" customWidth="1"/>
    <col min="2823" max="2825" width="7.42578125" customWidth="1"/>
    <col min="3073" max="3073" width="14.7109375" customWidth="1"/>
    <col min="3074" max="3074" width="24" customWidth="1"/>
    <col min="3075" max="3077" width="7.42578125" customWidth="1"/>
    <col min="3078" max="3078" width="20" customWidth="1"/>
    <col min="3079" max="3081" width="7.42578125" customWidth="1"/>
    <col min="3329" max="3329" width="14.7109375" customWidth="1"/>
    <col min="3330" max="3330" width="24" customWidth="1"/>
    <col min="3331" max="3333" width="7.42578125" customWidth="1"/>
    <col min="3334" max="3334" width="20" customWidth="1"/>
    <col min="3335" max="3337" width="7.42578125" customWidth="1"/>
    <col min="3585" max="3585" width="14.7109375" customWidth="1"/>
    <col min="3586" max="3586" width="24" customWidth="1"/>
    <col min="3587" max="3589" width="7.42578125" customWidth="1"/>
    <col min="3590" max="3590" width="20" customWidth="1"/>
    <col min="3591" max="3593" width="7.42578125" customWidth="1"/>
    <col min="3841" max="3841" width="14.7109375" customWidth="1"/>
    <col min="3842" max="3842" width="24" customWidth="1"/>
    <col min="3843" max="3845" width="7.42578125" customWidth="1"/>
    <col min="3846" max="3846" width="20" customWidth="1"/>
    <col min="3847" max="3849" width="7.42578125" customWidth="1"/>
    <col min="4097" max="4097" width="14.7109375" customWidth="1"/>
    <col min="4098" max="4098" width="24" customWidth="1"/>
    <col min="4099" max="4101" width="7.42578125" customWidth="1"/>
    <col min="4102" max="4102" width="20" customWidth="1"/>
    <col min="4103" max="4105" width="7.42578125" customWidth="1"/>
    <col min="4353" max="4353" width="14.7109375" customWidth="1"/>
    <col min="4354" max="4354" width="24" customWidth="1"/>
    <col min="4355" max="4357" width="7.42578125" customWidth="1"/>
    <col min="4358" max="4358" width="20" customWidth="1"/>
    <col min="4359" max="4361" width="7.42578125" customWidth="1"/>
    <col min="4609" max="4609" width="14.7109375" customWidth="1"/>
    <col min="4610" max="4610" width="24" customWidth="1"/>
    <col min="4611" max="4613" width="7.42578125" customWidth="1"/>
    <col min="4614" max="4614" width="20" customWidth="1"/>
    <col min="4615" max="4617" width="7.42578125" customWidth="1"/>
    <col min="4865" max="4865" width="14.7109375" customWidth="1"/>
    <col min="4866" max="4866" width="24" customWidth="1"/>
    <col min="4867" max="4869" width="7.42578125" customWidth="1"/>
    <col min="4870" max="4870" width="20" customWidth="1"/>
    <col min="4871" max="4873" width="7.42578125" customWidth="1"/>
    <col min="5121" max="5121" width="14.7109375" customWidth="1"/>
    <col min="5122" max="5122" width="24" customWidth="1"/>
    <col min="5123" max="5125" width="7.42578125" customWidth="1"/>
    <col min="5126" max="5126" width="20" customWidth="1"/>
    <col min="5127" max="5129" width="7.42578125" customWidth="1"/>
    <col min="5377" max="5377" width="14.7109375" customWidth="1"/>
    <col min="5378" max="5378" width="24" customWidth="1"/>
    <col min="5379" max="5381" width="7.42578125" customWidth="1"/>
    <col min="5382" max="5382" width="20" customWidth="1"/>
    <col min="5383" max="5385" width="7.42578125" customWidth="1"/>
    <col min="5633" max="5633" width="14.7109375" customWidth="1"/>
    <col min="5634" max="5634" width="24" customWidth="1"/>
    <col min="5635" max="5637" width="7.42578125" customWidth="1"/>
    <col min="5638" max="5638" width="20" customWidth="1"/>
    <col min="5639" max="5641" width="7.42578125" customWidth="1"/>
    <col min="5889" max="5889" width="14.7109375" customWidth="1"/>
    <col min="5890" max="5890" width="24" customWidth="1"/>
    <col min="5891" max="5893" width="7.42578125" customWidth="1"/>
    <col min="5894" max="5894" width="20" customWidth="1"/>
    <col min="5895" max="5897" width="7.42578125" customWidth="1"/>
    <col min="6145" max="6145" width="14.7109375" customWidth="1"/>
    <col min="6146" max="6146" width="24" customWidth="1"/>
    <col min="6147" max="6149" width="7.42578125" customWidth="1"/>
    <col min="6150" max="6150" width="20" customWidth="1"/>
    <col min="6151" max="6153" width="7.42578125" customWidth="1"/>
    <col min="6401" max="6401" width="14.7109375" customWidth="1"/>
    <col min="6402" max="6402" width="24" customWidth="1"/>
    <col min="6403" max="6405" width="7.42578125" customWidth="1"/>
    <col min="6406" max="6406" width="20" customWidth="1"/>
    <col min="6407" max="6409" width="7.42578125" customWidth="1"/>
    <col min="6657" max="6657" width="14.7109375" customWidth="1"/>
    <col min="6658" max="6658" width="24" customWidth="1"/>
    <col min="6659" max="6661" width="7.42578125" customWidth="1"/>
    <col min="6662" max="6662" width="20" customWidth="1"/>
    <col min="6663" max="6665" width="7.42578125" customWidth="1"/>
    <col min="6913" max="6913" width="14.7109375" customWidth="1"/>
    <col min="6914" max="6914" width="24" customWidth="1"/>
    <col min="6915" max="6917" width="7.42578125" customWidth="1"/>
    <col min="6918" max="6918" width="20" customWidth="1"/>
    <col min="6919" max="6921" width="7.42578125" customWidth="1"/>
    <col min="7169" max="7169" width="14.7109375" customWidth="1"/>
    <col min="7170" max="7170" width="24" customWidth="1"/>
    <col min="7171" max="7173" width="7.42578125" customWidth="1"/>
    <col min="7174" max="7174" width="20" customWidth="1"/>
    <col min="7175" max="7177" width="7.42578125" customWidth="1"/>
    <col min="7425" max="7425" width="14.7109375" customWidth="1"/>
    <col min="7426" max="7426" width="24" customWidth="1"/>
    <col min="7427" max="7429" width="7.42578125" customWidth="1"/>
    <col min="7430" max="7430" width="20" customWidth="1"/>
    <col min="7431" max="7433" width="7.42578125" customWidth="1"/>
    <col min="7681" max="7681" width="14.7109375" customWidth="1"/>
    <col min="7682" max="7682" width="24" customWidth="1"/>
    <col min="7683" max="7685" width="7.42578125" customWidth="1"/>
    <col min="7686" max="7686" width="20" customWidth="1"/>
    <col min="7687" max="7689" width="7.42578125" customWidth="1"/>
    <col min="7937" max="7937" width="14.7109375" customWidth="1"/>
    <col min="7938" max="7938" width="24" customWidth="1"/>
    <col min="7939" max="7941" width="7.42578125" customWidth="1"/>
    <col min="7942" max="7942" width="20" customWidth="1"/>
    <col min="7943" max="7945" width="7.42578125" customWidth="1"/>
    <col min="8193" max="8193" width="14.7109375" customWidth="1"/>
    <col min="8194" max="8194" width="24" customWidth="1"/>
    <col min="8195" max="8197" width="7.42578125" customWidth="1"/>
    <col min="8198" max="8198" width="20" customWidth="1"/>
    <col min="8199" max="8201" width="7.42578125" customWidth="1"/>
    <col min="8449" max="8449" width="14.7109375" customWidth="1"/>
    <col min="8450" max="8450" width="24" customWidth="1"/>
    <col min="8451" max="8453" width="7.42578125" customWidth="1"/>
    <col min="8454" max="8454" width="20" customWidth="1"/>
    <col min="8455" max="8457" width="7.42578125" customWidth="1"/>
    <col min="8705" max="8705" width="14.7109375" customWidth="1"/>
    <col min="8706" max="8706" width="24" customWidth="1"/>
    <col min="8707" max="8709" width="7.42578125" customWidth="1"/>
    <col min="8710" max="8710" width="20" customWidth="1"/>
    <col min="8711" max="8713" width="7.42578125" customWidth="1"/>
    <col min="8961" max="8961" width="14.7109375" customWidth="1"/>
    <col min="8962" max="8962" width="24" customWidth="1"/>
    <col min="8963" max="8965" width="7.42578125" customWidth="1"/>
    <col min="8966" max="8966" width="20" customWidth="1"/>
    <col min="8967" max="8969" width="7.42578125" customWidth="1"/>
    <col min="9217" max="9217" width="14.7109375" customWidth="1"/>
    <col min="9218" max="9218" width="24" customWidth="1"/>
    <col min="9219" max="9221" width="7.42578125" customWidth="1"/>
    <col min="9222" max="9222" width="20" customWidth="1"/>
    <col min="9223" max="9225" width="7.42578125" customWidth="1"/>
    <col min="9473" max="9473" width="14.7109375" customWidth="1"/>
    <col min="9474" max="9474" width="24" customWidth="1"/>
    <col min="9475" max="9477" width="7.42578125" customWidth="1"/>
    <col min="9478" max="9478" width="20" customWidth="1"/>
    <col min="9479" max="9481" width="7.42578125" customWidth="1"/>
    <col min="9729" max="9729" width="14.7109375" customWidth="1"/>
    <col min="9730" max="9730" width="24" customWidth="1"/>
    <col min="9731" max="9733" width="7.42578125" customWidth="1"/>
    <col min="9734" max="9734" width="20" customWidth="1"/>
    <col min="9735" max="9737" width="7.42578125" customWidth="1"/>
    <col min="9985" max="9985" width="14.7109375" customWidth="1"/>
    <col min="9986" max="9986" width="24" customWidth="1"/>
    <col min="9987" max="9989" width="7.42578125" customWidth="1"/>
    <col min="9990" max="9990" width="20" customWidth="1"/>
    <col min="9991" max="9993" width="7.42578125" customWidth="1"/>
    <col min="10241" max="10241" width="14.7109375" customWidth="1"/>
    <col min="10242" max="10242" width="24" customWidth="1"/>
    <col min="10243" max="10245" width="7.42578125" customWidth="1"/>
    <col min="10246" max="10246" width="20" customWidth="1"/>
    <col min="10247" max="10249" width="7.42578125" customWidth="1"/>
    <col min="10497" max="10497" width="14.7109375" customWidth="1"/>
    <col min="10498" max="10498" width="24" customWidth="1"/>
    <col min="10499" max="10501" width="7.42578125" customWidth="1"/>
    <col min="10502" max="10502" width="20" customWidth="1"/>
    <col min="10503" max="10505" width="7.42578125" customWidth="1"/>
    <col min="10753" max="10753" width="14.7109375" customWidth="1"/>
    <col min="10754" max="10754" width="24" customWidth="1"/>
    <col min="10755" max="10757" width="7.42578125" customWidth="1"/>
    <col min="10758" max="10758" width="20" customWidth="1"/>
    <col min="10759" max="10761" width="7.42578125" customWidth="1"/>
    <col min="11009" max="11009" width="14.7109375" customWidth="1"/>
    <col min="11010" max="11010" width="24" customWidth="1"/>
    <col min="11011" max="11013" width="7.42578125" customWidth="1"/>
    <col min="11014" max="11014" width="20" customWidth="1"/>
    <col min="11015" max="11017" width="7.42578125" customWidth="1"/>
    <col min="11265" max="11265" width="14.7109375" customWidth="1"/>
    <col min="11266" max="11266" width="24" customWidth="1"/>
    <col min="11267" max="11269" width="7.42578125" customWidth="1"/>
    <col min="11270" max="11270" width="20" customWidth="1"/>
    <col min="11271" max="11273" width="7.42578125" customWidth="1"/>
    <col min="11521" max="11521" width="14.7109375" customWidth="1"/>
    <col min="11522" max="11522" width="24" customWidth="1"/>
    <col min="11523" max="11525" width="7.42578125" customWidth="1"/>
    <col min="11526" max="11526" width="20" customWidth="1"/>
    <col min="11527" max="11529" width="7.42578125" customWidth="1"/>
    <col min="11777" max="11777" width="14.7109375" customWidth="1"/>
    <col min="11778" max="11778" width="24" customWidth="1"/>
    <col min="11779" max="11781" width="7.42578125" customWidth="1"/>
    <col min="11782" max="11782" width="20" customWidth="1"/>
    <col min="11783" max="11785" width="7.42578125" customWidth="1"/>
    <col min="12033" max="12033" width="14.7109375" customWidth="1"/>
    <col min="12034" max="12034" width="24" customWidth="1"/>
    <col min="12035" max="12037" width="7.42578125" customWidth="1"/>
    <col min="12038" max="12038" width="20" customWidth="1"/>
    <col min="12039" max="12041" width="7.42578125" customWidth="1"/>
    <col min="12289" max="12289" width="14.7109375" customWidth="1"/>
    <col min="12290" max="12290" width="24" customWidth="1"/>
    <col min="12291" max="12293" width="7.42578125" customWidth="1"/>
    <col min="12294" max="12294" width="20" customWidth="1"/>
    <col min="12295" max="12297" width="7.42578125" customWidth="1"/>
    <col min="12545" max="12545" width="14.7109375" customWidth="1"/>
    <col min="12546" max="12546" width="24" customWidth="1"/>
    <col min="12547" max="12549" width="7.42578125" customWidth="1"/>
    <col min="12550" max="12550" width="20" customWidth="1"/>
    <col min="12551" max="12553" width="7.42578125" customWidth="1"/>
    <col min="12801" max="12801" width="14.7109375" customWidth="1"/>
    <col min="12802" max="12802" width="24" customWidth="1"/>
    <col min="12803" max="12805" width="7.42578125" customWidth="1"/>
    <col min="12806" max="12806" width="20" customWidth="1"/>
    <col min="12807" max="12809" width="7.42578125" customWidth="1"/>
    <col min="13057" max="13057" width="14.7109375" customWidth="1"/>
    <col min="13058" max="13058" width="24" customWidth="1"/>
    <col min="13059" max="13061" width="7.42578125" customWidth="1"/>
    <col min="13062" max="13062" width="20" customWidth="1"/>
    <col min="13063" max="13065" width="7.42578125" customWidth="1"/>
    <col min="13313" max="13313" width="14.7109375" customWidth="1"/>
    <col min="13314" max="13314" width="24" customWidth="1"/>
    <col min="13315" max="13317" width="7.42578125" customWidth="1"/>
    <col min="13318" max="13318" width="20" customWidth="1"/>
    <col min="13319" max="13321" width="7.42578125" customWidth="1"/>
    <col min="13569" max="13569" width="14.7109375" customWidth="1"/>
    <col min="13570" max="13570" width="24" customWidth="1"/>
    <col min="13571" max="13573" width="7.42578125" customWidth="1"/>
    <col min="13574" max="13574" width="20" customWidth="1"/>
    <col min="13575" max="13577" width="7.42578125" customWidth="1"/>
    <col min="13825" max="13825" width="14.7109375" customWidth="1"/>
    <col min="13826" max="13826" width="24" customWidth="1"/>
    <col min="13827" max="13829" width="7.42578125" customWidth="1"/>
    <col min="13830" max="13830" width="20" customWidth="1"/>
    <col min="13831" max="13833" width="7.42578125" customWidth="1"/>
    <col min="14081" max="14081" width="14.7109375" customWidth="1"/>
    <col min="14082" max="14082" width="24" customWidth="1"/>
    <col min="14083" max="14085" width="7.42578125" customWidth="1"/>
    <col min="14086" max="14086" width="20" customWidth="1"/>
    <col min="14087" max="14089" width="7.42578125" customWidth="1"/>
    <col min="14337" max="14337" width="14.7109375" customWidth="1"/>
    <col min="14338" max="14338" width="24" customWidth="1"/>
    <col min="14339" max="14341" width="7.42578125" customWidth="1"/>
    <col min="14342" max="14342" width="20" customWidth="1"/>
    <col min="14343" max="14345" width="7.42578125" customWidth="1"/>
    <col min="14593" max="14593" width="14.7109375" customWidth="1"/>
    <col min="14594" max="14594" width="24" customWidth="1"/>
    <col min="14595" max="14597" width="7.42578125" customWidth="1"/>
    <col min="14598" max="14598" width="20" customWidth="1"/>
    <col min="14599" max="14601" width="7.42578125" customWidth="1"/>
    <col min="14849" max="14849" width="14.7109375" customWidth="1"/>
    <col min="14850" max="14850" width="24" customWidth="1"/>
    <col min="14851" max="14853" width="7.42578125" customWidth="1"/>
    <col min="14854" max="14854" width="20" customWidth="1"/>
    <col min="14855" max="14857" width="7.42578125" customWidth="1"/>
    <col min="15105" max="15105" width="14.7109375" customWidth="1"/>
    <col min="15106" max="15106" width="24" customWidth="1"/>
    <col min="15107" max="15109" width="7.42578125" customWidth="1"/>
    <col min="15110" max="15110" width="20" customWidth="1"/>
    <col min="15111" max="15113" width="7.42578125" customWidth="1"/>
    <col min="15361" max="15361" width="14.7109375" customWidth="1"/>
    <col min="15362" max="15362" width="24" customWidth="1"/>
    <col min="15363" max="15365" width="7.42578125" customWidth="1"/>
    <col min="15366" max="15366" width="20" customWidth="1"/>
    <col min="15367" max="15369" width="7.42578125" customWidth="1"/>
    <col min="15617" max="15617" width="14.7109375" customWidth="1"/>
    <col min="15618" max="15618" width="24" customWidth="1"/>
    <col min="15619" max="15621" width="7.42578125" customWidth="1"/>
    <col min="15622" max="15622" width="20" customWidth="1"/>
    <col min="15623" max="15625" width="7.42578125" customWidth="1"/>
    <col min="15873" max="15873" width="14.7109375" customWidth="1"/>
    <col min="15874" max="15874" width="24" customWidth="1"/>
    <col min="15875" max="15877" width="7.42578125" customWidth="1"/>
    <col min="15878" max="15878" width="20" customWidth="1"/>
    <col min="15879" max="15881" width="7.42578125" customWidth="1"/>
    <col min="16129" max="16129" width="14.7109375" customWidth="1"/>
    <col min="16130" max="16130" width="24" customWidth="1"/>
    <col min="16131" max="16133" width="7.42578125" customWidth="1"/>
    <col min="16134" max="16134" width="20" customWidth="1"/>
    <col min="16135" max="16137" width="7.42578125" customWidth="1"/>
  </cols>
  <sheetData>
    <row r="1" spans="2:17" s="5" customFormat="1"/>
    <row r="2" spans="2:17" s="5" customFormat="1"/>
    <row r="3" spans="2:17" s="5" customFormat="1" ht="48.75" customHeight="1" thickBot="1"/>
    <row r="4" spans="2:17">
      <c r="B4" s="198" t="s">
        <v>53</v>
      </c>
      <c r="C4" s="199"/>
      <c r="D4" s="199"/>
      <c r="E4" s="199"/>
      <c r="F4" s="199"/>
      <c r="G4" s="199"/>
      <c r="H4" s="199"/>
      <c r="I4" s="200"/>
    </row>
    <row r="5" spans="2:17">
      <c r="B5" s="201" t="s">
        <v>54</v>
      </c>
      <c r="C5" s="202"/>
      <c r="D5" s="202"/>
      <c r="E5" s="202"/>
      <c r="F5" s="202" t="s">
        <v>55</v>
      </c>
      <c r="G5" s="202"/>
      <c r="H5" s="202"/>
      <c r="I5" s="203"/>
    </row>
    <row r="6" spans="2:17">
      <c r="B6" s="6" t="s">
        <v>56</v>
      </c>
      <c r="C6" s="1" t="s">
        <v>57</v>
      </c>
      <c r="D6" s="1" t="s">
        <v>58</v>
      </c>
      <c r="E6" s="7" t="s">
        <v>59</v>
      </c>
      <c r="F6" s="1" t="s">
        <v>56</v>
      </c>
      <c r="G6" s="1" t="s">
        <v>57</v>
      </c>
      <c r="H6" s="1" t="s">
        <v>58</v>
      </c>
      <c r="I6" s="2" t="s">
        <v>59</v>
      </c>
    </row>
    <row r="7" spans="2:17" s="8" customFormat="1">
      <c r="B7" s="188" t="s">
        <v>3</v>
      </c>
      <c r="C7" s="189"/>
      <c r="D7" s="189"/>
      <c r="E7" s="190"/>
      <c r="F7" s="188" t="s">
        <v>60</v>
      </c>
      <c r="G7" s="189"/>
      <c r="H7" s="189"/>
      <c r="I7" s="191"/>
    </row>
    <row r="8" spans="2:17" s="8" customFormat="1">
      <c r="B8" s="9"/>
      <c r="C8" s="10"/>
      <c r="D8" s="10"/>
      <c r="E8" s="11"/>
      <c r="F8" s="10" t="s">
        <v>61</v>
      </c>
      <c r="G8" s="10"/>
      <c r="H8" s="10"/>
      <c r="I8" s="12"/>
    </row>
    <row r="9" spans="2:17" s="8" customFormat="1">
      <c r="B9" s="9" t="s">
        <v>62</v>
      </c>
      <c r="C9" s="10"/>
      <c r="D9" s="10"/>
      <c r="E9" s="11"/>
      <c r="F9" s="10" t="s">
        <v>63</v>
      </c>
      <c r="G9" s="10"/>
      <c r="H9" s="43"/>
      <c r="I9" s="44"/>
    </row>
    <row r="10" spans="2:17" s="8" customFormat="1">
      <c r="B10" s="188" t="s">
        <v>64</v>
      </c>
      <c r="C10" s="189"/>
      <c r="D10" s="189"/>
      <c r="E10" s="190"/>
      <c r="F10" s="10" t="s">
        <v>65</v>
      </c>
      <c r="G10" s="10"/>
      <c r="H10" s="43"/>
      <c r="I10" s="44"/>
    </row>
    <row r="11" spans="2:17" s="8" customFormat="1">
      <c r="B11" s="9" t="s">
        <v>11</v>
      </c>
      <c r="C11" s="10"/>
      <c r="D11" s="10"/>
      <c r="E11" s="10"/>
      <c r="F11" s="10" t="s">
        <v>66</v>
      </c>
      <c r="G11" s="43"/>
      <c r="H11" s="43"/>
      <c r="I11" s="44"/>
    </row>
    <row r="12" spans="2:17" s="8" customFormat="1">
      <c r="B12" s="9" t="s">
        <v>67</v>
      </c>
      <c r="C12" s="60"/>
      <c r="D12" s="60"/>
      <c r="E12" s="60"/>
      <c r="F12" s="13"/>
      <c r="G12" s="14"/>
      <c r="H12" s="14"/>
      <c r="I12" s="15"/>
    </row>
    <row r="13" spans="2:17" s="8" customFormat="1" ht="25.5">
      <c r="B13" s="9" t="s">
        <v>106</v>
      </c>
      <c r="C13" s="10"/>
      <c r="D13" s="10"/>
      <c r="E13" s="10"/>
      <c r="F13" s="13"/>
      <c r="G13" s="14"/>
      <c r="H13" s="14"/>
      <c r="I13" s="15"/>
      <c r="Q13" s="59"/>
    </row>
    <row r="14" spans="2:17" s="8" customFormat="1">
      <c r="B14" s="188" t="s">
        <v>68</v>
      </c>
      <c r="C14" s="189"/>
      <c r="D14" s="189"/>
      <c r="E14" s="190"/>
      <c r="F14" s="13"/>
      <c r="G14" s="14"/>
      <c r="H14" s="14"/>
      <c r="I14" s="15"/>
    </row>
    <row r="15" spans="2:17" s="8" customFormat="1">
      <c r="B15" s="9" t="s">
        <v>69</v>
      </c>
      <c r="C15" s="10"/>
      <c r="D15" s="10">
        <f>C15</f>
        <v>0</v>
      </c>
      <c r="E15" s="10">
        <f>D15</f>
        <v>0</v>
      </c>
      <c r="F15" s="13"/>
      <c r="G15" s="14"/>
      <c r="H15" s="14"/>
      <c r="I15" s="15"/>
      <c r="M15" s="45"/>
    </row>
    <row r="16" spans="2:17" s="8" customFormat="1">
      <c r="B16" s="9" t="s">
        <v>1</v>
      </c>
      <c r="C16" s="10"/>
      <c r="D16" s="10"/>
      <c r="E16" s="10"/>
      <c r="F16" s="16"/>
      <c r="G16" s="17"/>
      <c r="H16" s="17"/>
      <c r="I16" s="18"/>
    </row>
    <row r="17" spans="2:16" s="8" customFormat="1">
      <c r="B17" s="9" t="s">
        <v>70</v>
      </c>
      <c r="C17" s="10"/>
      <c r="D17" s="10"/>
      <c r="E17" s="11"/>
      <c r="F17" s="188" t="s">
        <v>71</v>
      </c>
      <c r="G17" s="189"/>
      <c r="H17" s="189"/>
      <c r="I17" s="191"/>
    </row>
    <row r="18" spans="2:16" s="8" customFormat="1" ht="38.25">
      <c r="B18" s="9" t="s">
        <v>0</v>
      </c>
      <c r="C18" s="60"/>
      <c r="D18" s="10"/>
      <c r="E18" s="10"/>
      <c r="F18" s="10" t="s">
        <v>72</v>
      </c>
      <c r="G18" s="46"/>
      <c r="H18" s="61"/>
      <c r="I18" s="62"/>
    </row>
    <row r="19" spans="2:16" s="8" customFormat="1" ht="25.5">
      <c r="B19" s="9" t="s">
        <v>73</v>
      </c>
      <c r="C19" s="10"/>
      <c r="D19" s="10"/>
      <c r="E19" s="10"/>
      <c r="F19" s="10" t="s">
        <v>74</v>
      </c>
      <c r="G19" s="35"/>
      <c r="H19" s="10"/>
      <c r="I19" s="12"/>
    </row>
    <row r="20" spans="2:16" s="8" customFormat="1">
      <c r="B20" s="9" t="s">
        <v>10</v>
      </c>
      <c r="C20" s="10"/>
      <c r="D20" s="10"/>
      <c r="E20" s="11"/>
      <c r="F20" s="10" t="s">
        <v>75</v>
      </c>
      <c r="G20" s="10"/>
      <c r="H20" s="10"/>
      <c r="I20" s="12"/>
      <c r="L20" s="45"/>
    </row>
    <row r="21" spans="2:16" s="8" customFormat="1">
      <c r="B21" s="9" t="s">
        <v>76</v>
      </c>
      <c r="C21" s="10"/>
      <c r="D21" s="10"/>
      <c r="E21" s="11"/>
      <c r="F21" s="192"/>
      <c r="G21" s="193"/>
      <c r="H21" s="193"/>
      <c r="I21" s="194"/>
      <c r="M21" s="45"/>
    </row>
    <row r="22" spans="2:16" s="8" customFormat="1" ht="26.25" thickBot="1">
      <c r="B22" s="19" t="s">
        <v>118</v>
      </c>
      <c r="C22" s="20"/>
      <c r="D22" s="10"/>
      <c r="E22" s="10"/>
      <c r="F22" s="195"/>
      <c r="G22" s="196"/>
      <c r="H22" s="196"/>
      <c r="I22" s="197"/>
    </row>
    <row r="23" spans="2:16" s="8" customFormat="1" ht="15.75" thickTop="1">
      <c r="B23" s="188" t="s">
        <v>4</v>
      </c>
      <c r="C23" s="189"/>
      <c r="D23" s="189"/>
      <c r="E23" s="190"/>
      <c r="F23" s="188" t="s">
        <v>77</v>
      </c>
      <c r="G23" s="189"/>
      <c r="H23" s="189"/>
      <c r="I23" s="191"/>
      <c r="M23" s="45"/>
    </row>
    <row r="24" spans="2:16" s="8" customFormat="1">
      <c r="B24" s="9" t="s">
        <v>2</v>
      </c>
      <c r="C24" s="10"/>
      <c r="D24" s="10"/>
      <c r="E24" s="10"/>
      <c r="F24" s="10" t="s">
        <v>74</v>
      </c>
      <c r="G24" s="10"/>
      <c r="H24" s="10"/>
      <c r="I24" s="10"/>
    </row>
    <row r="25" spans="2:16" s="8" customFormat="1">
      <c r="B25" s="9" t="s">
        <v>78</v>
      </c>
      <c r="C25" s="10"/>
      <c r="D25" s="10"/>
      <c r="E25" s="11"/>
      <c r="F25" s="10" t="s">
        <v>75</v>
      </c>
      <c r="G25" s="10"/>
      <c r="H25" s="10"/>
      <c r="I25" s="12"/>
    </row>
    <row r="26" spans="2:16" s="8" customFormat="1">
      <c r="B26" s="9" t="s">
        <v>79</v>
      </c>
      <c r="C26" s="10"/>
      <c r="D26" s="10"/>
      <c r="E26" s="11"/>
      <c r="F26" s="10" t="s">
        <v>80</v>
      </c>
      <c r="G26" s="10"/>
      <c r="H26" s="10"/>
      <c r="I26" s="12"/>
      <c r="P26" s="45"/>
    </row>
    <row r="27" spans="2:16" s="8" customFormat="1">
      <c r="B27" s="9" t="s">
        <v>81</v>
      </c>
      <c r="C27" s="10"/>
      <c r="D27" s="10"/>
      <c r="E27" s="10"/>
      <c r="F27" s="10" t="s">
        <v>82</v>
      </c>
      <c r="G27" s="10"/>
      <c r="H27" s="10"/>
      <c r="I27" s="12"/>
    </row>
    <row r="28" spans="2:16" s="8" customFormat="1" ht="25.5">
      <c r="B28" s="9" t="s">
        <v>83</v>
      </c>
      <c r="C28" s="10"/>
      <c r="D28" s="10"/>
      <c r="E28" s="10"/>
      <c r="F28" s="10" t="s">
        <v>84</v>
      </c>
      <c r="G28" s="10"/>
      <c r="H28" s="10"/>
      <c r="I28" s="10"/>
      <c r="P28" s="45"/>
    </row>
    <row r="29" spans="2:16" s="8" customFormat="1" ht="25.5">
      <c r="B29" s="9" t="s">
        <v>85</v>
      </c>
      <c r="C29" s="10"/>
      <c r="D29" s="10"/>
      <c r="E29" s="11"/>
      <c r="F29" s="10" t="s">
        <v>86</v>
      </c>
      <c r="G29" s="43"/>
      <c r="H29" s="43"/>
      <c r="I29" s="43"/>
    </row>
    <row r="30" spans="2:16" s="8" customFormat="1" ht="25.5">
      <c r="B30" s="9" t="s">
        <v>87</v>
      </c>
      <c r="C30" s="43"/>
      <c r="D30" s="10"/>
      <c r="E30" s="11"/>
      <c r="F30" s="10" t="s">
        <v>88</v>
      </c>
      <c r="G30" s="43"/>
      <c r="H30" s="43"/>
      <c r="I30" s="43"/>
      <c r="L30" s="45"/>
      <c r="O30" s="45"/>
    </row>
    <row r="31" spans="2:16" s="8" customFormat="1" ht="38.25">
      <c r="B31" s="9" t="s">
        <v>89</v>
      </c>
      <c r="C31" s="43"/>
      <c r="D31" s="43"/>
      <c r="E31" s="43"/>
      <c r="F31" s="10" t="s">
        <v>90</v>
      </c>
      <c r="G31" s="10"/>
      <c r="H31" s="10"/>
      <c r="I31" s="12"/>
    </row>
    <row r="32" spans="2:16" s="8" customFormat="1" ht="26.25" thickBot="1">
      <c r="B32" s="21" t="s">
        <v>91</v>
      </c>
      <c r="C32" s="42">
        <f>SUM(C24:C31,C15:C22,C11:C13,C8:C9)</f>
        <v>0</v>
      </c>
      <c r="D32" s="42">
        <f>SUM(D24:D31,D15:D22,D11:D13,D8:D9)</f>
        <v>0</v>
      </c>
      <c r="E32" s="42">
        <f>SUM(E24:E31,E15:E22,E11:E13,E8:E9)</f>
        <v>0</v>
      </c>
      <c r="F32" s="22" t="s">
        <v>92</v>
      </c>
      <c r="G32" s="42">
        <f>SUM(G24:G31,G15:G22,G11:G13,G8:G9)</f>
        <v>0</v>
      </c>
      <c r="H32" s="42">
        <f>SUM(H24:H31,H15:H22,H11:H13,H8:H9)</f>
        <v>0</v>
      </c>
      <c r="I32" s="42">
        <f>SUM(I24:I31,I15:I22,I11:I13,I8:I9)</f>
        <v>0</v>
      </c>
      <c r="L32" s="45"/>
    </row>
    <row r="33" spans="2:9" s="8" customFormat="1">
      <c r="B33"/>
      <c r="C33"/>
      <c r="D33"/>
      <c r="E33"/>
      <c r="F33"/>
      <c r="G33"/>
      <c r="H33"/>
      <c r="I33"/>
    </row>
  </sheetData>
  <mergeCells count="11">
    <mergeCell ref="B10:E10"/>
    <mergeCell ref="B4:I4"/>
    <mergeCell ref="B5:E5"/>
    <mergeCell ref="F5:I5"/>
    <mergeCell ref="B7:E7"/>
    <mergeCell ref="F7:I7"/>
    <mergeCell ref="B14:E14"/>
    <mergeCell ref="F17:I17"/>
    <mergeCell ref="F21:I22"/>
    <mergeCell ref="B23:E23"/>
    <mergeCell ref="F23:I23"/>
  </mergeCells>
  <conditionalFormatting sqref="C32:E32 G32:I32">
    <cfRule type="cellIs" dxfId="1" priority="3" stopIfTrue="1" operator="equal">
      <formula>0</formula>
    </cfRule>
  </conditionalFormatting>
  <conditionalFormatting sqref="G18:G19">
    <cfRule type="cellIs" dxfId="0" priority="1" stopIfTrue="1" operator="between">
      <formula>0</formula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6CA1-9019-4BF2-9CB3-1593E0C21D56}">
  <dimension ref="B4:C27"/>
  <sheetViews>
    <sheetView workbookViewId="0">
      <selection activeCell="C7" sqref="C7"/>
    </sheetView>
  </sheetViews>
  <sheetFormatPr baseColWidth="10" defaultRowHeight="15"/>
  <cols>
    <col min="2" max="2" width="74.140625" bestFit="1" customWidth="1"/>
  </cols>
  <sheetData>
    <row r="4" spans="2:3">
      <c r="B4" s="130" t="s">
        <v>220</v>
      </c>
    </row>
    <row r="5" spans="2:3">
      <c r="C5" s="131" t="s">
        <v>221</v>
      </c>
    </row>
    <row r="6" spans="2:3">
      <c r="B6" s="132" t="s">
        <v>222</v>
      </c>
      <c r="C6" s="166">
        <f>C15</f>
        <v>80119.692103429334</v>
      </c>
    </row>
    <row r="7" spans="2:3">
      <c r="B7" s="132" t="s">
        <v>223</v>
      </c>
      <c r="C7" s="133">
        <f>C22</f>
        <v>0</v>
      </c>
    </row>
    <row r="8" spans="2:3">
      <c r="B8" s="132" t="s">
        <v>224</v>
      </c>
      <c r="C8" s="134">
        <f>'[1]Introducción de datos'!C16</f>
        <v>0</v>
      </c>
    </row>
    <row r="9" spans="2:3">
      <c r="B9" s="135"/>
      <c r="C9" s="136"/>
    </row>
    <row r="10" spans="2:3">
      <c r="B10" s="137" t="s">
        <v>225</v>
      </c>
      <c r="C10" s="138">
        <f>'Introducción de datos'!D33</f>
        <v>0</v>
      </c>
    </row>
    <row r="13" spans="2:3">
      <c r="B13" s="139" t="s">
        <v>226</v>
      </c>
    </row>
    <row r="14" spans="2:3" ht="15.75">
      <c r="B14" s="140"/>
    </row>
    <row r="15" spans="2:3" ht="15.75">
      <c r="B15" s="141" t="s">
        <v>227</v>
      </c>
      <c r="C15" s="167">
        <f>C16/C18</f>
        <v>80119.692103429334</v>
      </c>
    </row>
    <row r="16" spans="2:3" ht="15.75">
      <c r="B16" s="142" t="s">
        <v>228</v>
      </c>
      <c r="C16" s="127">
        <f>SUM('Cuenta de reslultados año1'!O18:O27)</f>
        <v>53710.404795471346</v>
      </c>
    </row>
    <row r="17" spans="2:3">
      <c r="B17" s="143" t="s">
        <v>229</v>
      </c>
      <c r="C17" s="127">
        <f>'Cuenta de reslultados año1'!O11-'Cuenta de reslultados año1'!O16</f>
        <v>39628</v>
      </c>
    </row>
    <row r="18" spans="2:3">
      <c r="B18" s="143" t="s">
        <v>230</v>
      </c>
      <c r="C18" s="109">
        <f>C17/'Cuenta de reslultados año1'!O11</f>
        <v>0.67037707441679495</v>
      </c>
    </row>
    <row r="19" spans="2:3">
      <c r="B19" s="143"/>
    </row>
    <row r="20" spans="2:3">
      <c r="B20" s="139" t="s">
        <v>223</v>
      </c>
    </row>
    <row r="21" spans="2:3">
      <c r="B21" s="143"/>
    </row>
    <row r="22" spans="2:3" ht="15.75">
      <c r="B22" s="141" t="s">
        <v>231</v>
      </c>
      <c r="C22" s="133">
        <f>'Introducción de datos'!D33/AVERAGE(Ventas!C29:AL29)</f>
        <v>0</v>
      </c>
    </row>
    <row r="23" spans="2:3">
      <c r="B23" s="143"/>
    </row>
    <row r="24" spans="2:3">
      <c r="B24" s="143"/>
    </row>
    <row r="25" spans="2:3">
      <c r="B25" s="139" t="s">
        <v>232</v>
      </c>
    </row>
    <row r="26" spans="2:3">
      <c r="B26" s="143"/>
    </row>
    <row r="27" spans="2:3" ht="15.75">
      <c r="B27" s="141" t="s">
        <v>233</v>
      </c>
      <c r="C27" s="144">
        <f>'[1]Introducción de datos'!C16/(SUM([1]Personal!C28:AL29)+'[1]Cuenta de reslultados año1'!O29)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Introducción de datos</vt:lpstr>
      <vt:lpstr>Fuentes de financiación</vt:lpstr>
      <vt:lpstr>Cuadro amortización crédito</vt:lpstr>
      <vt:lpstr>Personal</vt:lpstr>
      <vt:lpstr>Precios y costes</vt:lpstr>
      <vt:lpstr>Ventas</vt:lpstr>
      <vt:lpstr>Costes</vt:lpstr>
      <vt:lpstr>Cuenta de reslultados año1</vt:lpstr>
      <vt:lpstr>Cuenta de resultados año2</vt:lpstr>
      <vt:lpstr>Cuenta resultados año3</vt:lpstr>
      <vt:lpstr>Plan de Tesorería</vt:lpstr>
      <vt:lpstr>Balance</vt:lpstr>
      <vt:lpstr>Ratios</vt:lpstr>
      <vt:lpstr>Ratios!_Toc179793326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del Mar</dc:creator>
  <cp:lastModifiedBy>Emprende</cp:lastModifiedBy>
  <cp:lastPrinted>2026-06-15T10:21:10Z</cp:lastPrinted>
  <dcterms:created xsi:type="dcterms:W3CDTF">2015-06-05T18:19:34Z</dcterms:created>
  <dcterms:modified xsi:type="dcterms:W3CDTF">2026-07-23T10:23:49Z</dcterms:modified>
</cp:coreProperties>
</file>